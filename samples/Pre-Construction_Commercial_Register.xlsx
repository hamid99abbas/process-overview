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za_\OneDrive - Meridian Construction &amp; Refurbishments Ltd\Desktop\PCSA - To Hamid\To Hamid\"/>
    </mc:Choice>
  </mc:AlternateContent>
  <xr:revisionPtr revIDLastSave="0" documentId="13_ncr:1_{8634FAAB-CC18-45C8-A5BC-B3FBBBE2B602}" xr6:coauthVersionLast="47" xr6:coauthVersionMax="47" xr10:uidLastSave="{00000000-0000-0000-0000-000000000000}"/>
  <bookViews>
    <workbookView xWindow="28690" yWindow="-110" windowWidth="38620" windowHeight="21100" tabRatio="500" activeTab="2" xr2:uid="{00000000-000D-0000-FFFF-FFFF00000000}"/>
  </bookViews>
  <sheets>
    <sheet name="Read Me" sheetId="1" r:id="rId1"/>
    <sheet name="Stage 1 - Bid &amp; Tender" sheetId="2" r:id="rId2"/>
    <sheet name="Stage 2 - Contract Award" sheetId="3" r:id="rId3"/>
    <sheet name="Stage 3 - Pre-Construction" sheetId="4" r:id="rId4"/>
    <sheet name="Pre-Con Folder Structure" sheetId="5" r:id="rId5"/>
    <sheet name="Master Register" sheetId="6" r:id="rId6"/>
    <sheet name="Folder Coverage" sheetId="7" r:id="rId7"/>
    <sheet name="Dashboard" sheetId="8" r:id="rId8"/>
    <sheet name="Guidance &amp; Lookup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1" i="5" l="1"/>
  <c r="G70" i="5"/>
  <c r="G69" i="5"/>
  <c r="G68" i="5"/>
  <c r="G66" i="5"/>
  <c r="G65" i="5"/>
  <c r="G63" i="5"/>
  <c r="G62" i="5"/>
  <c r="G61" i="5"/>
  <c r="G60" i="5"/>
  <c r="G58" i="5"/>
  <c r="G57" i="5"/>
  <c r="G56" i="5"/>
  <c r="G54" i="5"/>
  <c r="G53" i="5"/>
  <c r="G51" i="5"/>
  <c r="G50" i="5"/>
  <c r="G49" i="5"/>
  <c r="G48" i="5"/>
  <c r="G46" i="5"/>
  <c r="G45" i="5"/>
  <c r="G44" i="5"/>
  <c r="G42" i="5"/>
  <c r="G41" i="5"/>
  <c r="G40" i="5"/>
  <c r="G39" i="5"/>
  <c r="G37" i="5"/>
  <c r="G36" i="5"/>
  <c r="G35" i="5"/>
  <c r="G34" i="5"/>
  <c r="G33" i="5"/>
  <c r="G32" i="5"/>
  <c r="G30" i="5"/>
  <c r="G29" i="5"/>
  <c r="G28" i="5"/>
  <c r="G27" i="5"/>
  <c r="G26" i="5"/>
  <c r="G25" i="5"/>
  <c r="G24" i="5"/>
  <c r="G23" i="5"/>
  <c r="G22" i="5"/>
  <c r="G20" i="5"/>
  <c r="G19" i="5"/>
  <c r="G18" i="5"/>
  <c r="G17" i="5"/>
  <c r="G16" i="5"/>
  <c r="G15" i="5"/>
  <c r="G13" i="5"/>
  <c r="G12" i="5"/>
  <c r="G11" i="5"/>
  <c r="G9" i="5"/>
  <c r="G8" i="5"/>
  <c r="G7" i="5"/>
  <c r="G6" i="5"/>
  <c r="C4" i="7"/>
  <c r="C17" i="7" s="1"/>
  <c r="C5" i="7"/>
  <c r="C6" i="7"/>
  <c r="C7" i="7"/>
  <c r="C8" i="7"/>
  <c r="C9" i="7"/>
  <c r="C10" i="7"/>
  <c r="C11" i="7"/>
  <c r="C12" i="7"/>
  <c r="C13" i="7"/>
  <c r="C14" i="7"/>
  <c r="C15" i="7"/>
  <c r="C16" i="7"/>
  <c r="A29" i="8"/>
  <c r="D29" i="8" s="1"/>
  <c r="B29" i="8"/>
  <c r="C29" i="8"/>
  <c r="A30" i="8"/>
  <c r="B30" i="8"/>
  <c r="C30" i="8"/>
  <c r="D30" i="8"/>
  <c r="A31" i="8"/>
  <c r="A32" i="8"/>
  <c r="B32" i="8" s="1"/>
  <c r="C32" i="8"/>
  <c r="D32" i="8"/>
  <c r="A33" i="8"/>
  <c r="B33" i="8"/>
  <c r="C33" i="8"/>
  <c r="D33" i="8"/>
  <c r="E33" i="8" s="1"/>
  <c r="A34" i="8"/>
  <c r="B34" i="8"/>
  <c r="C34" i="8"/>
  <c r="D34" i="8"/>
  <c r="A35" i="8"/>
  <c r="B35" i="8"/>
  <c r="A36" i="8"/>
  <c r="B36" i="8"/>
  <c r="C36" i="8"/>
  <c r="D36" i="8"/>
  <c r="A37" i="8"/>
  <c r="B37" i="8"/>
  <c r="C37" i="8"/>
  <c r="D37" i="8"/>
  <c r="A38" i="8"/>
  <c r="B38" i="8"/>
  <c r="C38" i="8"/>
  <c r="D38" i="8"/>
  <c r="A39" i="8"/>
  <c r="B39" i="8"/>
  <c r="C39" i="8"/>
  <c r="D39" i="8"/>
  <c r="A40" i="8"/>
  <c r="D40" i="8" s="1"/>
  <c r="A41" i="8"/>
  <c r="D41" i="8" s="1"/>
  <c r="B41" i="8"/>
  <c r="C41" i="8"/>
  <c r="A42" i="8"/>
  <c r="D42" i="8" s="1"/>
  <c r="B42" i="8"/>
  <c r="C42" i="8"/>
  <c r="A43" i="8"/>
  <c r="B43" i="8"/>
  <c r="C43" i="8"/>
  <c r="D43" i="8"/>
  <c r="E43" i="8" s="1"/>
  <c r="B13" i="8"/>
  <c r="C13" i="8"/>
  <c r="D13" i="8"/>
  <c r="B14" i="8"/>
  <c r="C14" i="8"/>
  <c r="D14" i="8"/>
  <c r="B15" i="8"/>
  <c r="C15" i="8"/>
  <c r="D15" i="8"/>
  <c r="B16" i="8"/>
  <c r="C16" i="8"/>
  <c r="D16" i="8"/>
  <c r="B17" i="8"/>
  <c r="C17" i="8"/>
  <c r="D17" i="8"/>
  <c r="B18" i="8"/>
  <c r="C18" i="8"/>
  <c r="D18" i="8"/>
  <c r="B19" i="8"/>
  <c r="C19" i="8"/>
  <c r="D19" i="8"/>
  <c r="B20" i="8"/>
  <c r="C20" i="8"/>
  <c r="D20" i="8"/>
  <c r="B21" i="8"/>
  <c r="C21" i="8"/>
  <c r="D21" i="8"/>
  <c r="B22" i="8"/>
  <c r="C22" i="8"/>
  <c r="D22" i="8"/>
  <c r="B23" i="8"/>
  <c r="C23" i="8"/>
  <c r="D23" i="8"/>
  <c r="B24" i="8"/>
  <c r="C24" i="8"/>
  <c r="D24" i="8"/>
  <c r="B25" i="8"/>
  <c r="C25" i="8"/>
  <c r="D25" i="8"/>
  <c r="B26" i="8"/>
  <c r="C26" i="8"/>
  <c r="D26" i="8"/>
  <c r="B27" i="8"/>
  <c r="C27" i="8"/>
  <c r="D27" i="8"/>
  <c r="H5" i="8"/>
  <c r="H6" i="8"/>
  <c r="H7" i="8"/>
  <c r="E6" i="8"/>
  <c r="E7" i="8"/>
  <c r="E8" i="8"/>
  <c r="E9" i="8"/>
  <c r="B5" i="8"/>
  <c r="B6" i="8"/>
  <c r="B7" i="8"/>
  <c r="B8" i="8"/>
  <c r="B9" i="8"/>
  <c r="A2" i="4"/>
  <c r="A2" i="3"/>
  <c r="A2" i="2"/>
  <c r="E5" i="8" l="1"/>
  <c r="E29" i="8"/>
  <c r="B31" i="8"/>
  <c r="C31" i="8"/>
  <c r="D31" i="8"/>
  <c r="E30" i="8"/>
  <c r="E32" i="8"/>
  <c r="E34" i="8"/>
  <c r="E36" i="8"/>
  <c r="E37" i="8"/>
  <c r="E38" i="8"/>
  <c r="E39" i="8"/>
  <c r="E41" i="8"/>
  <c r="H8" i="8"/>
  <c r="C35" i="8"/>
  <c r="D35" i="8"/>
  <c r="B40" i="8"/>
  <c r="C40" i="8"/>
  <c r="E42" i="8"/>
  <c r="E31" i="8" l="1"/>
  <c r="E35" i="8"/>
  <c r="E40" i="8"/>
</calcChain>
</file>

<file path=xl/sharedStrings.xml><?xml version="1.0" encoding="utf-8"?>
<sst xmlns="http://schemas.openxmlformats.org/spreadsheetml/2006/main" count="5764" uniqueCount="1360">
  <si>
    <t>Pre-Construction Commercial Register</t>
  </si>
  <si>
    <t>What this is</t>
  </si>
  <si>
    <t>Why a new tree</t>
  </si>
  <si>
    <t>Your earlier folder structure was designed for the construction/delivery phase (Monthly Management, Subcontractor valuations, Close Out). It doesn't fit a pre-construction pack — half its folders would be empty and many pre-con documents had no home. This tree fixes that. Your construction-phase tree is untouched; use it once the job starts on site.</t>
  </si>
  <si>
    <t>Sheets</t>
  </si>
  <si>
    <t>Naming</t>
  </si>
  <si>
    <t>PROJ-MCR-CM-[TYPE]-[####]_[Title]. Every folder has a unique TYPE code (no collisions). Set the real project code per job — find-and-replace PROJ in column W.</t>
  </si>
  <si>
    <t>Owners</t>
  </si>
  <si>
    <t>Still to confirm</t>
  </si>
  <si>
    <t>Everything needed to win the main contract. Only the shaded 'goes to client' rows physically go out; the rest are internal tender records kept as the priced baseline.</t>
  </si>
  <si>
    <t>Ref</t>
  </si>
  <si>
    <t>Document / Control</t>
  </si>
  <si>
    <t>Goes to client?</t>
  </si>
  <si>
    <t>Workstream</t>
  </si>
  <si>
    <t>Priority</t>
  </si>
  <si>
    <t>Folder (L1 › L2)</t>
  </si>
  <si>
    <t>TYPE</t>
  </si>
  <si>
    <t>Proposed File Name</t>
  </si>
  <si>
    <t>Owner</t>
  </si>
  <si>
    <t>PC-A-001</t>
  </si>
  <si>
    <t>Client ITT / Tender Documents (as issued)</t>
  </si>
  <si>
    <t>Internal record</t>
  </si>
  <si>
    <t>Tender &amp; Bid Baseline</t>
  </si>
  <si>
    <t>Critical</t>
  </si>
  <si>
    <t>Tender receipt</t>
  </si>
  <si>
    <t>1.0 › 1.10 Tender Source Information (Frozen)</t>
  </si>
  <si>
    <t>TSI</t>
  </si>
  <si>
    <t>PROJ-MCR-CM-TSI-0001_ClientITT</t>
  </si>
  <si>
    <t>PC-A-002</t>
  </si>
  <si>
    <t>PC-A-003</t>
  </si>
  <si>
    <t>PC-A-004</t>
  </si>
  <si>
    <t>Tender Addenda / Bulletin Register</t>
  </si>
  <si>
    <t>Tender period</t>
  </si>
  <si>
    <t>PROJ-MCR-CM-TSI-0004_TenderAddenda</t>
  </si>
  <si>
    <t>PC-A-005</t>
  </si>
  <si>
    <t>Tender Clarifications and RFI Log</t>
  </si>
  <si>
    <t>PROJ-MCR-CM-TSI-0005_TenderClarificationsRFILog</t>
  </si>
  <si>
    <t>PC-A-008</t>
  </si>
  <si>
    <t>Priced Tender Submission (full build-up)</t>
  </si>
  <si>
    <t>Yes — goes to client</t>
  </si>
  <si>
    <t>Tender submission</t>
  </si>
  <si>
    <t>1.0 › 1.20 Priced Bid &amp; Assumptions</t>
  </si>
  <si>
    <t>BID</t>
  </si>
  <si>
    <t>PROJ-MCR-CM-BID-0001_PricedTenderSubmission</t>
  </si>
  <si>
    <t>PC-A-009</t>
  </si>
  <si>
    <t>Tender Qualifications, Exclusions and Assumptions Schedule</t>
  </si>
  <si>
    <t>1.0 › 1.30 Bid Governance &amp; Submission</t>
  </si>
  <si>
    <t>BGV</t>
  </si>
  <si>
    <t>PROJ-MCR-CM-BGV-0001_TenderQualifications</t>
  </si>
  <si>
    <t>PC-A-010</t>
  </si>
  <si>
    <t>Tender Baseline Programme</t>
  </si>
  <si>
    <t>PROJ-MCR-CM-BGV-0002_TenderBaselineProgramme</t>
  </si>
  <si>
    <t>Tender Adjudication / Settlement Summary</t>
  </si>
  <si>
    <t>PROJ-MCR-CM-BGV-0003_TenderAdjudication</t>
  </si>
  <si>
    <t>Tender Risk and Opportunity Schedule</t>
  </si>
  <si>
    <t>PROJ-MCR-CM-BGV-0004_TenderRiskOpportunitySchedule</t>
  </si>
  <si>
    <t>PC-A-006</t>
  </si>
  <si>
    <t>Site Visit / Existing Conditions Record</t>
  </si>
  <si>
    <t>High</t>
  </si>
  <si>
    <t>PROJ-MCR-CM-TSI-0006_SiteVisit</t>
  </si>
  <si>
    <t>PC-A-007</t>
  </si>
  <si>
    <t>Tender Return Requirements Checklist</t>
  </si>
  <si>
    <t>PROJ-MCR-CM-TSI-0007_TenderReturnRequirementsChecklist</t>
  </si>
  <si>
    <t>PC-A-011</t>
  </si>
  <si>
    <t>Bid Bonds / Tender Security Record</t>
  </si>
  <si>
    <t>PROJ-MCR-CM-BGV-0005_BidBonds</t>
  </si>
  <si>
    <t>Everything to close and sign — including cross-cutting items (LADs, insurance exclusions, ground risk, S106, funding) that must be resolved before execution.</t>
  </si>
  <si>
    <t>PC-B-001</t>
  </si>
  <si>
    <t>Contract-vs-Tender Reconciliation</t>
  </si>
  <si>
    <t>Contract Formation</t>
  </si>
  <si>
    <t>Pre-contract</t>
  </si>
  <si>
    <t>2.0 › 2.20 Tender-to-Contract Reconciliation</t>
  </si>
  <si>
    <t>T2C</t>
  </si>
  <si>
    <t>PROJ-MCR-CM-T2C-0001_ContractVsTenderReconciliation</t>
  </si>
  <si>
    <t>PC-B-002</t>
  </si>
  <si>
    <t>Executed Building Contract</t>
  </si>
  <si>
    <t>Contract execution</t>
  </si>
  <si>
    <t>2.0 › 2.10 Executed Contract &amp; Particulars</t>
  </si>
  <si>
    <t>CON</t>
  </si>
  <si>
    <t>PROJ-MCR-CM-CON-0001_ExecutedBuildingContract</t>
  </si>
  <si>
    <t>PC-B-003</t>
  </si>
  <si>
    <t>Contract Particulars Register</t>
  </si>
  <si>
    <t>PROJ-MCR-CM-CON-0002_ContractParticularsRegister</t>
  </si>
  <si>
    <t>PC-B-004</t>
  </si>
  <si>
    <t>PC-B-005</t>
  </si>
  <si>
    <t>PC-B-006</t>
  </si>
  <si>
    <t>2.0 › 2.40 ER / CP &amp; Compliance</t>
  </si>
  <si>
    <t>ERCP</t>
  </si>
  <si>
    <t>PC-B-007</t>
  </si>
  <si>
    <t>Contractor’s Proposals Register</t>
  </si>
  <si>
    <t>PROJ-MCR-CM-ERCP-0002_ContractorSProposalsRegister</t>
  </si>
  <si>
    <t>PC-B-008</t>
  </si>
  <si>
    <t>ER/CP Compliance and Divergence Matrix</t>
  </si>
  <si>
    <t>PROJ-MCR-CM-ERCP-0003_ER</t>
  </si>
  <si>
    <t>PC-B-009</t>
  </si>
  <si>
    <t>Contract Sum Analysis / Contract Sum Breakdown</t>
  </si>
  <si>
    <t>2.0 › 2.60 Contract Pricing Basis</t>
  </si>
  <si>
    <t>CPB</t>
  </si>
  <si>
    <t>PROJ-MCR-CM-CPB-0001_ContractSumAnalysis</t>
  </si>
  <si>
    <t>PC-B-010</t>
  </si>
  <si>
    <t>Pricing Document / Bill of Quantities / Schedule of Rates</t>
  </si>
  <si>
    <t>PROJ-MCR-CM-CPB-0002_PricingDocument</t>
  </si>
  <si>
    <t>PC-B-011</t>
  </si>
  <si>
    <t>Contract Data / Scope / Works Information (NEC where applicable)</t>
  </si>
  <si>
    <t>PROJ-MCR-CM-CON-0004_ContractData</t>
  </si>
  <si>
    <t>PC-B-012</t>
  </si>
  <si>
    <t>Letter of Intent Register and Authority</t>
  </si>
  <si>
    <t>2.0 › 2.30 Contract Risk &amp; Liabilities</t>
  </si>
  <si>
    <t>CRL</t>
  </si>
  <si>
    <t>PROJ-MCR-CM-CRL-0001_LetterIntentRegisterAuthority</t>
  </si>
  <si>
    <t>PC-B-014</t>
  </si>
  <si>
    <t>Before execution</t>
  </si>
  <si>
    <t>PROJ-MCR-CM-T2C-0004_ContractApproval</t>
  </si>
  <si>
    <t>Key Contract Dates and Notices Schedule</t>
  </si>
  <si>
    <t>PROJ-MCR-CM-CON-0005_KeyContractDatesNoticesSchedule</t>
  </si>
  <si>
    <t>PC-D-020</t>
  </si>
  <si>
    <t>Reconciliation to Client Budget / Funding Limit</t>
  </si>
  <si>
    <t>Cost Planning &amp; Budget</t>
  </si>
  <si>
    <t>3.0 › 3.90 Provisional Sums, Contingency &amp; Value</t>
  </si>
  <si>
    <t>PSV</t>
  </si>
  <si>
    <t>PROJ-MCR-CM-PSV-0008_ReconciliationClientBudget</t>
  </si>
  <si>
    <t>PC-H-001</t>
  </si>
  <si>
    <t>Client Payment Schedule</t>
  </si>
  <si>
    <t>Cashflow, Payment &amp; Tax</t>
  </si>
  <si>
    <t>6.0 › 6.10 Payment Framework</t>
  </si>
  <si>
    <t>PYF</t>
  </si>
  <si>
    <t>PROJ-MCR-CM-PYF-0001_ClientPaymentSchedule</t>
  </si>
  <si>
    <t>PC-H-007</t>
  </si>
  <si>
    <t>Working Capital and Peak Funding Assessment</t>
  </si>
  <si>
    <t>6.0 › 6.20 Cashflow &amp; Funding</t>
  </si>
  <si>
    <t>CFF</t>
  </si>
  <si>
    <t>PROJ-MCR-CM-CFF-0002_WorkingCapitalPeakFundingAssessment</t>
  </si>
  <si>
    <t>6.0 › 6.30 Tax &amp; Payment Security</t>
  </si>
  <si>
    <t>TPS</t>
  </si>
  <si>
    <t>PC-K-004</t>
  </si>
  <si>
    <t>Programme &amp; Delay Commercials</t>
  </si>
  <si>
    <t>8.0 › 8.20 Delay &amp; LADs Commercials</t>
  </si>
  <si>
    <t>DLY</t>
  </si>
  <si>
    <t>PC-L-003</t>
  </si>
  <si>
    <t>Insurance, Security &amp; Warranties</t>
  </si>
  <si>
    <t>9.0 › 9.10 Project Insurances</t>
  </si>
  <si>
    <t>INS</t>
  </si>
  <si>
    <t>PC-M-012</t>
  </si>
  <si>
    <t>Property, Statutory &amp; Third Parties</t>
  </si>
  <si>
    <t>10.0 › 10.40 Ground &amp; Interface Risk</t>
  </si>
  <si>
    <t>GIR</t>
  </si>
  <si>
    <t>PC-B-013</t>
  </si>
  <si>
    <t>Pre-Contract Services Agreement and Fee Tracker</t>
  </si>
  <si>
    <t>PCSA</t>
  </si>
  <si>
    <t>PROJ-MCR-CM-CRL-0002_PreContractServicesAgreementFee</t>
  </si>
  <si>
    <t>CCR</t>
  </si>
  <si>
    <t>Dispute Resolution and Governing Law Summary</t>
  </si>
  <si>
    <t>PROJ-MCR-CM-CRL-0003_DisputeResolutionGoverningLawSummary</t>
  </si>
  <si>
    <t>Assignment, Novation and Change of Control Requirements</t>
  </si>
  <si>
    <t>PROJ-MCR-CM-CRL-0005_Assignment</t>
  </si>
  <si>
    <t>PC-D-012</t>
  </si>
  <si>
    <t>Inflation / Escalation Assessment</t>
  </si>
  <si>
    <t>PROJ-MCR-CM-PSV-0001_Inflation</t>
  </si>
  <si>
    <t>PC-M-002</t>
  </si>
  <si>
    <t>Section 106 / Community Infrastructure Levy Schedule</t>
  </si>
  <si>
    <t>10.0 › 10.10 Planning &amp; Statutory Obligations</t>
  </si>
  <si>
    <t>STA</t>
  </si>
  <si>
    <t>PROJ-MCR-CM-STA-0002_Section106</t>
  </si>
  <si>
    <t>Everything to get ready to build once won. Almost all internal.</t>
  </si>
  <si>
    <t>PC-C-001</t>
  </si>
  <si>
    <t>Project Scope Responsibility Matrix</t>
  </si>
  <si>
    <t>Scope &amp; Design Cost Control</t>
  </si>
  <si>
    <t>Pre-construction</t>
  </si>
  <si>
    <t>3.0 › 3.10 Scope Definition &amp; Interfaces</t>
  </si>
  <si>
    <t>SCP</t>
  </si>
  <si>
    <t>PROJ-MCR-CM-SCP-0001_ProjectScopeResponsibilityMatrix</t>
  </si>
  <si>
    <t>PC-C-002</t>
  </si>
  <si>
    <t>Subcontract Package Matrix</t>
  </si>
  <si>
    <t>PROJ-MCR-CM-SCP-0002_SubcontractPackageMatrix</t>
  </si>
  <si>
    <t>PC-C-003</t>
  </si>
  <si>
    <t>Package Interface Matrix</t>
  </si>
  <si>
    <t>PROJ-MCR-CM-SCP-0003_PackageInterfaceMatrix</t>
  </si>
  <si>
    <t>PC-C-004</t>
  </si>
  <si>
    <t>PC-C-005</t>
  </si>
  <si>
    <t>3.0 › 3.20 Design Management</t>
  </si>
  <si>
    <t>DSN</t>
  </si>
  <si>
    <t>PC-C-006</t>
  </si>
  <si>
    <t>PC-C-007</t>
  </si>
  <si>
    <t>PC-C-008</t>
  </si>
  <si>
    <t>Pre-construction onward</t>
  </si>
  <si>
    <t>PC-C-009</t>
  </si>
  <si>
    <t>Design-to-Cost Tracker</t>
  </si>
  <si>
    <t>Design development</t>
  </si>
  <si>
    <t>3.0 › 3.30 Design Cost Control</t>
  </si>
  <si>
    <t>DCC</t>
  </si>
  <si>
    <t>PROJ-MCR-CM-DCC-0001_DesignCostTracker</t>
  </si>
  <si>
    <t>PC-C-010</t>
  </si>
  <si>
    <t>Consultant Appointment and Scope Review</t>
  </si>
  <si>
    <t>3.0 › 3.40 Consultant Appointments</t>
  </si>
  <si>
    <t>CNS</t>
  </si>
  <si>
    <t>PROJ-MCR-CM-CNS-0001_ConsultantAppointmentScopeReview</t>
  </si>
  <si>
    <t>Testing, Commissioning and Performance Requirements Matrix</t>
  </si>
  <si>
    <t>3.0 › 3.50 Performance &amp; Handover Requirements</t>
  </si>
  <si>
    <t>PHR</t>
  </si>
  <si>
    <t>PROJ-MCR-CM-PHR-0001_Testing</t>
  </si>
  <si>
    <t>PC-D-001</t>
  </si>
  <si>
    <t>Detailed Cost Plan</t>
  </si>
  <si>
    <t>3.0 › 3.60 Cost Baseline</t>
  </si>
  <si>
    <t>CBL</t>
  </si>
  <si>
    <t>PROJ-MCR-CM-CBL-0001_DetailedCostPlan</t>
  </si>
  <si>
    <t>PC-D-003</t>
  </si>
  <si>
    <t>Work Breakdown Structure / Cost Breakdown Structure</t>
  </si>
  <si>
    <t>3.0 › 3.70 Cost Coding</t>
  </si>
  <si>
    <t>COD</t>
  </si>
  <si>
    <t>PROJ-MCR-CM-COD-0001_WorkBreakdownStructure</t>
  </si>
  <si>
    <t>PC-D-004</t>
  </si>
  <si>
    <t>Cost Code Structure</t>
  </si>
  <si>
    <t>PROJ-MCR-CM-COD-0002_CostCodeStructure</t>
  </si>
  <si>
    <t>PC-D-006</t>
  </si>
  <si>
    <t>Opening Cost/Value Reconciliation (CVR)</t>
  </si>
  <si>
    <t>Pre-start</t>
  </si>
  <si>
    <t>PROJ-MCR-CM-CBL-0003_OpeningCost</t>
  </si>
  <si>
    <t>PC-D-007</t>
  </si>
  <si>
    <t>Preliminaries Budget</t>
  </si>
  <si>
    <t>3.0 › 3.80 Budget Build-Up</t>
  </si>
  <si>
    <t>BUD</t>
  </si>
  <si>
    <t>PROJ-MCR-CM-BUD-0001_PreliminariesBudget</t>
  </si>
  <si>
    <t>PC-D-010</t>
  </si>
  <si>
    <t>Logistics and Site Establishment Budget</t>
  </si>
  <si>
    <t>PROJ-MCR-CM-BUD-0004_LogisticsSiteEstablishmentBudget</t>
  </si>
  <si>
    <t>PC-D-014</t>
  </si>
  <si>
    <t>Provisional Sums and Prime Cost Sums Schedule</t>
  </si>
  <si>
    <t>PROJ-MCR-CM-PSV-0003_ProvisionalSumsPrimeCostSums</t>
  </si>
  <si>
    <t>PC-D-015</t>
  </si>
  <si>
    <t>Contingency Allocation and Drawdown Register</t>
  </si>
  <si>
    <t>PROJ-MCR-CM-PSV-0004_ContingencyAllocationDrawdownRegister</t>
  </si>
  <si>
    <t>PC-D-016</t>
  </si>
  <si>
    <t>Risk-Pricing Reconciliation</t>
  </si>
  <si>
    <t>PROJ-MCR-CM-PSV-0005_RiskPricingReconciliation</t>
  </si>
  <si>
    <t>PC-D-019</t>
  </si>
  <si>
    <t>Cost Plan Assumptions and Exclusions Register</t>
  </si>
  <si>
    <t>PROJ-MCR-CM-CBL-0004_CostPlanAssumptionsExclusionsRegister</t>
  </si>
  <si>
    <t>PC-E-001</t>
  </si>
  <si>
    <t>Procurement Strategy Report</t>
  </si>
  <si>
    <t>Procurement Strategy</t>
  </si>
  <si>
    <t>4.0 › 4.10 Procurement Strategy &amp; Schedule</t>
  </si>
  <si>
    <t>PRS</t>
  </si>
  <si>
    <t>PROJ-MCR-CM-PRS-0001_ProcurementStrategyReport</t>
  </si>
  <si>
    <t>PC-E-002</t>
  </si>
  <si>
    <t>Procurement Schedule / Tender Event Schedule</t>
  </si>
  <si>
    <t>PROJ-MCR-CM-PRS-0002_ProcurementSchedule</t>
  </si>
  <si>
    <t>PC-E-003</t>
  </si>
  <si>
    <t>Subcontract Procurement Tracker</t>
  </si>
  <si>
    <t>PROJ-MCR-CM-PRS-0003_SubcontractProcurementTracker</t>
  </si>
  <si>
    <t>PC-E-004</t>
  </si>
  <si>
    <t>Long Lead Item Tracker</t>
  </si>
  <si>
    <t>PROJ-MCR-CM-PRS-0004_LongLeadItemTracker</t>
  </si>
  <si>
    <t>PC-E-010</t>
  </si>
  <si>
    <t>Due Diligence / PQQ Records</t>
  </si>
  <si>
    <t>4.0 › 4.20 Supply Chain Management</t>
  </si>
  <si>
    <t>SCM</t>
  </si>
  <si>
    <t>PROJ-MCR-CM-SCM-0004_DueDiligence</t>
  </si>
  <si>
    <t>PC-E-011</t>
  </si>
  <si>
    <t>Before award</t>
  </si>
  <si>
    <t>PC-F-001</t>
  </si>
  <si>
    <t>Tendering &amp; Package Award</t>
  </si>
  <si>
    <t>Before enquiry</t>
  </si>
  <si>
    <t>4.0 › 4.40 Package Enquiry</t>
  </si>
  <si>
    <t>PKE</t>
  </si>
  <si>
    <t>PC-F-002</t>
  </si>
  <si>
    <t>Package Enquiry / ITT Document Checklist</t>
  </si>
  <si>
    <t>PROJ-MCR-CM-PKE-0002_PackageEnquiry</t>
  </si>
  <si>
    <t>PC-F-003</t>
  </si>
  <si>
    <t>PC-F-007</t>
  </si>
  <si>
    <t>Tender Analysis Sheet / Tender Comparison Matrix</t>
  </si>
  <si>
    <t>Tender analysis</t>
  </si>
  <si>
    <t>4.0 › 4.50 Package Tender Analysis</t>
  </si>
  <si>
    <t>PTA</t>
  </si>
  <si>
    <t>PROJ-MCR-CM-PTA-0002_TenderAnalysisSheet</t>
  </si>
  <si>
    <t>PC-F-008</t>
  </si>
  <si>
    <t>PC-F-009</t>
  </si>
  <si>
    <t>PC-F-010</t>
  </si>
  <si>
    <t>PC-F-011</t>
  </si>
  <si>
    <t>PC-F-012</t>
  </si>
  <si>
    <t>Pre-Let / Pre-Award Meeting Minutes</t>
  </si>
  <si>
    <t>4.0 › 4.60 Package Award &amp; Recommendation</t>
  </si>
  <si>
    <t>PAW</t>
  </si>
  <si>
    <t>PROJ-MCR-CM-PAW-0002_PreLet</t>
  </si>
  <si>
    <t>Commercial Recommendation Report</t>
  </si>
  <si>
    <t>PROJ-MCR-CM-PAW-0003_CommercialRecommendationReport</t>
  </si>
  <si>
    <t>PROJ-MCR-CM-PAW-0004_AwardApproval</t>
  </si>
  <si>
    <t>Bid Validity and Price Hold Confirmation</t>
  </si>
  <si>
    <t>PROJ-MCR-CM-PAW-0007_BidValidityPriceHoldConfirmation</t>
  </si>
  <si>
    <t>PC-G-001</t>
  </si>
  <si>
    <t>Subcontract Order Schedule</t>
  </si>
  <si>
    <t>Subcontract Formation</t>
  </si>
  <si>
    <t>5.0 › 5.10 Order Control</t>
  </si>
  <si>
    <t>SCO</t>
  </si>
  <si>
    <t>PROJ-MCR-CM-SCO-0001_SubcontractOrderSchedule</t>
  </si>
  <si>
    <t>PC-G-002</t>
  </si>
  <si>
    <t>Approved Subcontract / Purchase Order Templates</t>
  </si>
  <si>
    <t>0.0 › 0.20 Standard Templates</t>
  </si>
  <si>
    <t>TMP</t>
  </si>
  <si>
    <t>PROJ-MCR-CM-TMP-0001_ApprovedSubcontract</t>
  </si>
  <si>
    <t>PC-G-003</t>
  </si>
  <si>
    <t>5.0 › 5.20 Downstream Terms &amp; Flow-Down</t>
  </si>
  <si>
    <t>SDT</t>
  </si>
  <si>
    <t>PC-G-004</t>
  </si>
  <si>
    <t>PC-G-005</t>
  </si>
  <si>
    <t>PC-G-006</t>
  </si>
  <si>
    <t>PC-G-007</t>
  </si>
  <si>
    <t>Subcontract Programme and Key Dates Schedule</t>
  </si>
  <si>
    <t>PROJ-MCR-CM-SDT-0005_SubcontractProgrammeKeyDatesSchedule</t>
  </si>
  <si>
    <t>PC-G-009</t>
  </si>
  <si>
    <t>PC-G-010</t>
  </si>
  <si>
    <t>Collateral Warranty / Third-Party Rights Flow-Down Schedule</t>
  </si>
  <si>
    <t>5.0 › 5.30 Security &amp; Insurance</t>
  </si>
  <si>
    <t>SSI</t>
  </si>
  <si>
    <t>PROJ-MCR-CM-SSI-0001_CollateralWarranty</t>
  </si>
  <si>
    <t>Letter of Intent Tracker</t>
  </si>
  <si>
    <t>PROJ-MCR-CM-SCO-0002_LetterIntentTracker</t>
  </si>
  <si>
    <t>Executed Subcontract Register</t>
  </si>
  <si>
    <t>PROJ-MCR-CM-SCO-0003_ExecutedSubcontractRegister</t>
  </si>
  <si>
    <t>5.0 › 5.40 Materials &amp; Mobilisation</t>
  </si>
  <si>
    <t>SMM</t>
  </si>
  <si>
    <t>PC-H-002</t>
  </si>
  <si>
    <t>PC-H-003</t>
  </si>
  <si>
    <t>PC-H-004</t>
  </si>
  <si>
    <t>Pre-start onward</t>
  </si>
  <si>
    <t>PC-H-005</t>
  </si>
  <si>
    <t>PC-H-006</t>
  </si>
  <si>
    <t>Cashflow Forecast (Income and Expenditure)</t>
  </si>
  <si>
    <t>PROJ-MCR-CM-CFF-0001_CashflowForecast</t>
  </si>
  <si>
    <t>PC-I-001</t>
  </si>
  <si>
    <t>Commercial Risk Register</t>
  </si>
  <si>
    <t>Risk, Opportunity &amp; Governance</t>
  </si>
  <si>
    <t>7.0 › 7.10 Risk &amp; Opportunity Registers</t>
  </si>
  <si>
    <t>RSK</t>
  </si>
  <si>
    <t>PROJ-MCR-CM-RSK-0001_CommercialRiskRegister</t>
  </si>
  <si>
    <t>PC-I-002</t>
  </si>
  <si>
    <t>Risk Mitigation Plan</t>
  </si>
  <si>
    <t>PROJ-MCR-CM-RSK-0002_RiskMitigationPlan</t>
  </si>
  <si>
    <t>PC-I-006</t>
  </si>
  <si>
    <t>GOV</t>
  </si>
  <si>
    <t>PC-I-007</t>
  </si>
  <si>
    <t>PC-J-001</t>
  </si>
  <si>
    <t>Change Control Procedure</t>
  </si>
  <si>
    <t>Change, Claims &amp; Entitlement</t>
  </si>
  <si>
    <t>0.0 › 0.10 Commercial Procedures &amp; Protocols</t>
  </si>
  <si>
    <t>PROC</t>
  </si>
  <si>
    <t>PROJ-MCR-CM-PROC-0003_ChangeControlProcedure</t>
  </si>
  <si>
    <t>PC-J-002</t>
  </si>
  <si>
    <t>Variation / Compensation Event Register</t>
  </si>
  <si>
    <t>7.0 › 7.20 Change &amp; Variation Control</t>
  </si>
  <si>
    <t>CVC</t>
  </si>
  <si>
    <t>PROJ-MCR-CM-CVC-0001_Variation</t>
  </si>
  <si>
    <t>PC-J-003</t>
  </si>
  <si>
    <t>PC-J-004</t>
  </si>
  <si>
    <t>Client / Architect / Contract Administrator Instruction Register</t>
  </si>
  <si>
    <t>PROJ-MCR-CM-CVC-0003_Client</t>
  </si>
  <si>
    <t>PC-J-005</t>
  </si>
  <si>
    <t>7.0 › 7.30 Entitlement &amp; Claims Set-Up</t>
  </si>
  <si>
    <t>ENT</t>
  </si>
  <si>
    <t>PC-J-006</t>
  </si>
  <si>
    <t>PC-J-007</t>
  </si>
  <si>
    <t>Early Warning Register</t>
  </si>
  <si>
    <t>PROJ-MCR-CM-ENT-0003_EarlyWarningRegister</t>
  </si>
  <si>
    <t>PC-J-008</t>
  </si>
  <si>
    <t>PC-J-009</t>
  </si>
  <si>
    <t>Extension of Time Procedure and Impact Register</t>
  </si>
  <si>
    <t>PROJ-MCR-CM-ENT-0005_ExtensionTimeProcedureImpactRegister</t>
  </si>
  <si>
    <t>Dayworks Procedure, Agreed Rates and Register</t>
  </si>
  <si>
    <t>PROJ-MCR-CM-CVC-0004_DayworksProcedure</t>
  </si>
  <si>
    <t>Final Account Strategy Register</t>
  </si>
  <si>
    <t>PROJ-MCR-CM-ENT-0006_FinalAccountStrategyRegister</t>
  </si>
  <si>
    <t>PC-K-001</t>
  </si>
  <si>
    <t>Accepted / Contract Baseline Programme</t>
  </si>
  <si>
    <t>8.0 › 8.10 Baseline Programme &amp; Constraints</t>
  </si>
  <si>
    <t>PGM</t>
  </si>
  <si>
    <t>PROJ-MCR-CM-PGM-0001_Accepted</t>
  </si>
  <si>
    <t>PC-K-002</t>
  </si>
  <si>
    <t>Programme Assumptions and Constraints Register</t>
  </si>
  <si>
    <t>PROJ-MCR-CM-PGM-0002_ProgrammeAssumptionsConstraintsRegister</t>
  </si>
  <si>
    <t>PC-K-003</t>
  </si>
  <si>
    <t>Sectional Completion and Key Dates Schedule</t>
  </si>
  <si>
    <t>PROJ-MCR-CM-PGM-0003_SectionalCompletionKeyDatesSchedule</t>
  </si>
  <si>
    <t>PC-K-005</t>
  </si>
  <si>
    <t>PC-K-006</t>
  </si>
  <si>
    <t>PC-L-001</t>
  </si>
  <si>
    <t>Main Contract Insurance Schedule and Evidence</t>
  </si>
  <si>
    <t>PROJ-MCR-CM-INS-0001_MainContractInsuranceScheduleEvidence</t>
  </si>
  <si>
    <t>PC-L-002</t>
  </si>
  <si>
    <t>Insurance Responsibility Matrix</t>
  </si>
  <si>
    <t>PROJ-MCR-CM-INS-0002_InsuranceResponsibilityMatrix</t>
  </si>
  <si>
    <t>PC-L-006</t>
  </si>
  <si>
    <t>Collateral Warranty Matrix</t>
  </si>
  <si>
    <t>9.0 › 9.30 Warranties &amp; Third-Party Rights</t>
  </si>
  <si>
    <t>WTR</t>
  </si>
  <si>
    <t>PROJ-MCR-CM-WTR-0001_CollateralWarrantyMatrix</t>
  </si>
  <si>
    <t>PC-L-009</t>
  </si>
  <si>
    <t>Professional Indemnity Insurance Schedule</t>
  </si>
  <si>
    <t>PROJ-MCR-CM-INS-0004_ProfessionalIndemnityInsuranceSchedule</t>
  </si>
  <si>
    <t>PC-M-001</t>
  </si>
  <si>
    <t>Planning Permission and Condition Cost Register</t>
  </si>
  <si>
    <t>PROJ-MCR-CM-STA-0001_PlanningPermissionConditionCostRegister</t>
  </si>
  <si>
    <t>PC-M-003</t>
  </si>
  <si>
    <t>Building Regulations / Building Control Fees and Requirements</t>
  </si>
  <si>
    <t>PROJ-MCR-CM-STA-0003_BuildingRegulations</t>
  </si>
  <si>
    <t>PC-M-004</t>
  </si>
  <si>
    <t>PC-M-010</t>
  </si>
  <si>
    <t>Utility Search, Diversion and Connection Register</t>
  </si>
  <si>
    <t>10.0 › 10.20 Utilities &amp; Infrastructure</t>
  </si>
  <si>
    <t>UTL</t>
  </si>
  <si>
    <t>PROJ-MCR-CM-UTL-0003_UtilitySearch</t>
  </si>
  <si>
    <t>Client Direct Suppliers / Nominated Parties Interface Schedule</t>
  </si>
  <si>
    <t>PROJ-MCR-CM-GIR-0002_ClientDirectSuppliers</t>
  </si>
  <si>
    <t>PC-N-002</t>
  </si>
  <si>
    <t>CVR Reporting Calendar and Template</t>
  </si>
  <si>
    <t>Reporting &amp; Project Controls</t>
  </si>
  <si>
    <t>PROJ-MCR-CM-TMP-0006_CVRReportingCalendarTemplate</t>
  </si>
  <si>
    <t>PC-N-003</t>
  </si>
  <si>
    <t>Cost Value Reconciliation Template</t>
  </si>
  <si>
    <t>PROJ-MCR-CM-TMP-0007_CostValueReconciliationTemplate</t>
  </si>
  <si>
    <t>PC-N-004</t>
  </si>
  <si>
    <t>11.0 › 11.10 Reporting Framework</t>
  </si>
  <si>
    <t>RPT</t>
  </si>
  <si>
    <t>PC-N-005</t>
  </si>
  <si>
    <t>Cost Forecast / Forecast Final Cost Report</t>
  </si>
  <si>
    <t>11.0 › 11.20 Cost &amp; Procurement Reporting</t>
  </si>
  <si>
    <t>RPC</t>
  </si>
  <si>
    <t>PROJ-MCR-CM-RPC-0001_CostForecast</t>
  </si>
  <si>
    <t>PC-N-012</t>
  </si>
  <si>
    <t>Audit Trail / Document Control Protocol</t>
  </si>
  <si>
    <t>PROJ-MCR-CM-PROC-0007_AuditTrail</t>
  </si>
  <si>
    <t>PC-O-001</t>
  </si>
  <si>
    <t>Estimating-to-Delivery Handover Record</t>
  </si>
  <si>
    <t>Mobilisation &amp; Delivery Handover</t>
  </si>
  <si>
    <t>12.0 › 12.20 Estimating-to-Delivery Handover</t>
  </si>
  <si>
    <t>HND</t>
  </si>
  <si>
    <t>PROJ-MCR-CM-HND-0001_EstimatingDeliveryHandoverRecord</t>
  </si>
  <si>
    <t>PC-O-002</t>
  </si>
  <si>
    <t>Pre-Construction Commercial Readiness Review</t>
  </si>
  <si>
    <t>Before site start</t>
  </si>
  <si>
    <t>12.0 › 12.10 Commercial Readiness</t>
  </si>
  <si>
    <t>RDY</t>
  </si>
  <si>
    <t>PROJ-MCR-CM-RDY-0001_PreConstructionCommercialReadinessReview</t>
  </si>
  <si>
    <t>PC-O-003</t>
  </si>
  <si>
    <t>Commercial Mobilisation Checklist</t>
  </si>
  <si>
    <t>PROJ-MCR-CM-RDY-0002_CommercialMobilisationChecklist</t>
  </si>
  <si>
    <t>PC-O-004</t>
  </si>
  <si>
    <t>Package Readiness / Release-to-Procure Checklist</t>
  </si>
  <si>
    <t>12.0 › 12.30 Package Readiness</t>
  </si>
  <si>
    <t>PKR</t>
  </si>
  <si>
    <t>PROJ-MCR-CM-PKR-0001_PackageReadiness</t>
  </si>
  <si>
    <t>PC-O-005</t>
  </si>
  <si>
    <t>Package Release-to-Start Checklist</t>
  </si>
  <si>
    <t>PROJ-MCR-CM-PKR-0002_PackageReleaseStartChecklist</t>
  </si>
  <si>
    <t>PC-O-006</t>
  </si>
  <si>
    <t>Outstanding Commercial Decisions Register</t>
  </si>
  <si>
    <t>12.0 › 12.40 Outstanding Commercial Exposure</t>
  </si>
  <si>
    <t>EXP</t>
  </si>
  <si>
    <t>PROJ-MCR-CM-EXP-0001_OutstandingCommercialDecisionsRegister</t>
  </si>
  <si>
    <t>PC-O-007</t>
  </si>
  <si>
    <t>Open Qualifications / Assumptions Close-Out Schedule</t>
  </si>
  <si>
    <t>PROJ-MCR-CM-HND-0002_OpenQualifications</t>
  </si>
  <si>
    <t>PC-O-008</t>
  </si>
  <si>
    <t>Unplaced Orders and Exposure Report</t>
  </si>
  <si>
    <t>PROJ-MCR-CM-EXP-0002_UnplacedOrdersExposureReport</t>
  </si>
  <si>
    <t>PC-O-010</t>
  </si>
  <si>
    <t>Opening Forecast and Cashflow Approval</t>
  </si>
  <si>
    <t>PROJ-MCR-CM-RDY-0003_OpeningForecastCashflowApproval</t>
  </si>
  <si>
    <t>PC-O-014</t>
  </si>
  <si>
    <t>Commercial Pack Approval and Issue Record</t>
  </si>
  <si>
    <t>PROJ-MCR-CM-RDY-0005_CommercialPackApprovalIssueRecord</t>
  </si>
  <si>
    <t>PC-C-011</t>
  </si>
  <si>
    <t>Specification Compliance and Betterment Register</t>
  </si>
  <si>
    <t>PROJ-MCR-CM-DCC-0003_SpecificationComplianceBettermentRegister</t>
  </si>
  <si>
    <t>PC-C-012</t>
  </si>
  <si>
    <t>Room Data / Schedule of Accommodation Cost Check</t>
  </si>
  <si>
    <t>PROJ-MCR-CM-DCC-0004_RoomData</t>
  </si>
  <si>
    <t>Design Consultant Fee Schedule and Tracker</t>
  </si>
  <si>
    <t>PROJ-MCR-CM-CNS-0002_DesignConsultantFeeScheduleTracker</t>
  </si>
  <si>
    <t>BIM / Information Management Requirements Cost Review</t>
  </si>
  <si>
    <t>PROJ-MCR-CM-DSN-0005_BIM</t>
  </si>
  <si>
    <t>O&amp;M, Handover and Asset Information Requirements Matrix</t>
  </si>
  <si>
    <t>PROJ-MCR-CM-PHR-0002_OM</t>
  </si>
  <si>
    <t>PC-D-002</t>
  </si>
  <si>
    <t>Elemental Cost Breakdown</t>
  </si>
  <si>
    <t>PROJ-MCR-CM-CBL-0002_ElementalCostBreakdown</t>
  </si>
  <si>
    <t>PC-D-005</t>
  </si>
  <si>
    <t>Cost Allocation Schedule</t>
  </si>
  <si>
    <t>PROJ-MCR-CM-COD-0003_CostAllocationSchedule</t>
  </si>
  <si>
    <t>PC-D-008</t>
  </si>
  <si>
    <t>Design Fees Budget</t>
  </si>
  <si>
    <t>PROJ-MCR-CM-BUD-0002_DesignFeesBudget</t>
  </si>
  <si>
    <t>PC-D-009</t>
  </si>
  <si>
    <t>Temporary Works Budget</t>
  </si>
  <si>
    <t>PROJ-MCR-CM-BUD-0003_TemporaryWorksBudget</t>
  </si>
  <si>
    <t>PC-D-011</t>
  </si>
  <si>
    <t>Utilities and Statutory Charges Budget</t>
  </si>
  <si>
    <t>PROJ-MCR-CM-BUD-0005_UtilitiesStatutoryChargesBudget</t>
  </si>
  <si>
    <t>PC-D-013</t>
  </si>
  <si>
    <t>Currency and Commodity Exposure Schedule</t>
  </si>
  <si>
    <t>PROJ-MCR-CM-PSV-0002_CurrencyCommodityExposureSchedule</t>
  </si>
  <si>
    <t>PC-D-017</t>
  </si>
  <si>
    <t>Value Engineering Register</t>
  </si>
  <si>
    <t>PROJ-MCR-CM-PSV-0006_ValueEngineeringRegister</t>
  </si>
  <si>
    <t>PC-D-018</t>
  </si>
  <si>
    <t>Benchmarking and Market Testing Report</t>
  </si>
  <si>
    <t>PROJ-MCR-CM-PSV-0007_BenchmarkingMarketTestingReport</t>
  </si>
  <si>
    <t>PC-E-005</t>
  </si>
  <si>
    <t>Procurement Responsibility Matrix</t>
  </si>
  <si>
    <t>PROJ-MCR-CM-PRS-0005_ProcurementResponsibilityMatrix</t>
  </si>
  <si>
    <t>PC-E-006</t>
  </si>
  <si>
    <t>Package Award Schedule</t>
  </si>
  <si>
    <t>PROJ-MCR-CM-PRS-0006_PackageAwardSchedule</t>
  </si>
  <si>
    <t>PC-E-007</t>
  </si>
  <si>
    <t>Supply Chain Market Engagement Plan</t>
  </si>
  <si>
    <t>PROJ-MCR-CM-SCM-0001_SupplyChainMarketEngagementPlan</t>
  </si>
  <si>
    <t>PC-E-009</t>
  </si>
  <si>
    <t>Approved Supply Chain Register</t>
  </si>
  <si>
    <t>PROJ-MCR-CM-SCM-0003_ApprovedSupplyChainRegister</t>
  </si>
  <si>
    <t>PC-E-012</t>
  </si>
  <si>
    <t>Supply Chain Risk Assessment</t>
  </si>
  <si>
    <t>PROJ-MCR-CM-SCM-0006_SupplyChainRiskAssessment</t>
  </si>
  <si>
    <t>PC-E-013</t>
  </si>
  <si>
    <t>Single-Source / Negotiated Procurement Justification</t>
  </si>
  <si>
    <t>Before enquiry / award</t>
  </si>
  <si>
    <t>PROJ-MCR-CM-SCM-0007_SingleSource</t>
  </si>
  <si>
    <t>PC-E-014</t>
  </si>
  <si>
    <t>Modern Slavery, Sanctions and Ethical Procurement Checks</t>
  </si>
  <si>
    <t>PROJ-MCR-CM-SCM-0008_ModernSlavery</t>
  </si>
  <si>
    <t>PC-E-015</t>
  </si>
  <si>
    <t>Social Value / Local Labour Procurement Plan</t>
  </si>
  <si>
    <t>4.0 › 4.30 Responsible Procurement</t>
  </si>
  <si>
    <t>RSP</t>
  </si>
  <si>
    <t>PROJ-MCR-CM-RSP-0001_SocialValue</t>
  </si>
  <si>
    <t>Sustainable Procurement and Responsible Sourcing Schedule</t>
  </si>
  <si>
    <t>PROJ-MCR-CM-RSP-0002_SustainableProcurementResponsibleSourcingSchedule</t>
  </si>
  <si>
    <t>PC-F-004</t>
  </si>
  <si>
    <t>Tender Return Schedule and Pricing Template</t>
  </si>
  <si>
    <t>PROJ-MCR-CM-PKE-0004_TenderReturnSchedulePricingTemplate</t>
  </si>
  <si>
    <t>PC-F-005</t>
  </si>
  <si>
    <t>Tender Query and Clarification Log - per package</t>
  </si>
  <si>
    <t>PROJ-MCR-CM-PKE-0005_TenderQueryClarificationLog</t>
  </si>
  <si>
    <t>PC-F-006</t>
  </si>
  <si>
    <t>Tender Return Register</t>
  </si>
  <si>
    <t>Tender return</t>
  </si>
  <si>
    <t>PROJ-MCR-CM-PTA-0001_TenderReturnRegister</t>
  </si>
  <si>
    <t>PC-F-013</t>
  </si>
  <si>
    <t>Tender Interview / Mid-Bid Meeting Record</t>
  </si>
  <si>
    <t>PROJ-MCR-CM-PAW-0001_TenderInterview</t>
  </si>
  <si>
    <t>Buying Gains / Losses Tracker</t>
  </si>
  <si>
    <t>At award</t>
  </si>
  <si>
    <t>PROJ-MCR-CM-PAW-0005_BuyingGains</t>
  </si>
  <si>
    <t>Post-Tender Negotiation Record</t>
  </si>
  <si>
    <t>PROJ-MCR-CM-PAW-0006_PostTenderNegotiationRecord</t>
  </si>
  <si>
    <t>PC-G-008</t>
  </si>
  <si>
    <t>Subcontract Damages / Delay Recovery Schedule</t>
  </si>
  <si>
    <t>PROJ-MCR-CM-SDT-0006_SubcontractDamages</t>
  </si>
  <si>
    <t>Subcontract Insurance Requirements Schedule</t>
  </si>
  <si>
    <t>PROJ-MCR-CM-SSI-0002_SubcontractInsuranceRequirementsSchedule</t>
  </si>
  <si>
    <t>Subcontract Bond / Parent Company Guarantee Requirements</t>
  </si>
  <si>
    <t>PROJ-MCR-CM-SSI-0003_SubcontractBond</t>
  </si>
  <si>
    <t>Off-Site Materials and Vesting Procedure</t>
  </si>
  <si>
    <t>Before off-site payment</t>
  </si>
  <si>
    <t>PROJ-MCR-CM-SMM-0001_OffSiteMaterialsVestingProcedure</t>
  </si>
  <si>
    <t>Retention Register</t>
  </si>
  <si>
    <t>PROJ-MCR-CM-CFF-0003_RetentionRegister</t>
  </si>
  <si>
    <t>Project Bank Account / Escrow Requirements</t>
  </si>
  <si>
    <t>PROJ-MCR-CM-TPS-0003_ProjectBankAccount</t>
  </si>
  <si>
    <t>Cost Accrual and Invoice Cut-Off Procedure</t>
  </si>
  <si>
    <t>PROJ-MCR-CM-PROC-0001_CostAccrualInvoiceCutOff</t>
  </si>
  <si>
    <t>Materials on Site Evidence Requirements</t>
  </si>
  <si>
    <t>PROJ-MCR-CM-PROC-0002_MaterialsOnSiteEvidenceRequirements</t>
  </si>
  <si>
    <t>PC-I-003</t>
  </si>
  <si>
    <t>Risk Ownership Matrix</t>
  </si>
  <si>
    <t>PROJ-MCR-CM-RSK-0003_RiskOwnershipMatrix</t>
  </si>
  <si>
    <t>PC-I-004</t>
  </si>
  <si>
    <t>Opportunity Register</t>
  </si>
  <si>
    <t>PROJ-MCR-CM-RSK-0004_OpportunityRegister</t>
  </si>
  <si>
    <t>PC-I-005</t>
  </si>
  <si>
    <t>Commercial Risk Workshop Minutes</t>
  </si>
  <si>
    <t>0.0 › 0.40 Meetings, Contacts &amp; Decisions</t>
  </si>
  <si>
    <t>MTG</t>
  </si>
  <si>
    <t>PROJ-MCR-CM-MTG-0001_CommercialRiskWorkshopMinutes</t>
  </si>
  <si>
    <t>PC-I-008</t>
  </si>
  <si>
    <t>Commercial Responsibility Matrix (RACI)</t>
  </si>
  <si>
    <t>PROJ-MCR-CM-GOV-0003_CommercialResponsibilityMatrix</t>
  </si>
  <si>
    <t>PC-I-009</t>
  </si>
  <si>
    <t>Conflict of Interest Declarations</t>
  </si>
  <si>
    <t>PROJ-MCR-CM-GOV-0004_ConflictInterestDeclarations</t>
  </si>
  <si>
    <t>Fraud, Bribery and Gifts/Hospitality Compliance Record</t>
  </si>
  <si>
    <t>PROJ-MCR-CM-GOV-0005_Fraud</t>
  </si>
  <si>
    <t>Contra-Charge Procedure and Register</t>
  </si>
  <si>
    <t>PROJ-MCR-CM-CVC-0005_ContraChargeProcedureRegister</t>
  </si>
  <si>
    <t>Claims Legal Privilege and Review Protocol</t>
  </si>
  <si>
    <t>PROJ-MCR-CM-PROC-0006_ClaimsLegalPrivilegeReviewProtocol</t>
  </si>
  <si>
    <t>Delay Notice and EOT Submission Templates</t>
  </si>
  <si>
    <t>PROJ-MCR-CM-TMP-0004_DelayNoticeEOTSubmissionTemplates</t>
  </si>
  <si>
    <t>Float Ownership and Concurrent Delay Position Note</t>
  </si>
  <si>
    <t>PROJ-MCR-CM-DLY-0002_FloatOwnershipConcurrentDelayPosition</t>
  </si>
  <si>
    <t>Programme Risk Allowance / Schedule Risk Analysis</t>
  </si>
  <si>
    <t>PROJ-MCR-CM-DLY-0003_ProgrammeRiskAllowance</t>
  </si>
  <si>
    <t>PC-L-004</t>
  </si>
  <si>
    <t>Performance Bond Tracker</t>
  </si>
  <si>
    <t>9.0 › 9.20 Bonds &amp; Guarantees</t>
  </si>
  <si>
    <t>BND</t>
  </si>
  <si>
    <t>PROJ-MCR-CM-BND-0001_PerformanceBondTracker</t>
  </si>
  <si>
    <t>PC-L-005</t>
  </si>
  <si>
    <t>Parent Company Guarantee Tracker</t>
  </si>
  <si>
    <t>PROJ-MCR-CM-BND-0002_ParentCompanyGuaranteeTracker</t>
  </si>
  <si>
    <t>PC-L-007</t>
  </si>
  <si>
    <t>Third-Party Rights Schedule</t>
  </si>
  <si>
    <t>PROJ-MCR-CM-WTR-0002_ThirdPartyRightsSchedule</t>
  </si>
  <si>
    <t>PC-L-008</t>
  </si>
  <si>
    <t>Warranty Register</t>
  </si>
  <si>
    <t>PROJ-MCR-CM-WTR-0003_WarrantyRegister</t>
  </si>
  <si>
    <t>Latent Defects / Structural Warranty Requirements</t>
  </si>
  <si>
    <t>PROJ-MCR-CM-INS-0005_LatentDefects</t>
  </si>
  <si>
    <t>PC-M-005</t>
  </si>
  <si>
    <t>Party Wall Awards / Neighbour Agreements Register</t>
  </si>
  <si>
    <t>10.0 › 10.30 Third-Party &amp; Neighbour Rights</t>
  </si>
  <si>
    <t>TPR</t>
  </si>
  <si>
    <t>PROJ-MCR-CM-TPR-0001_PartyWallAwards</t>
  </si>
  <si>
    <t>PC-M-006</t>
  </si>
  <si>
    <t>Rights of Light / Oversailing / Crane Licence Register</t>
  </si>
  <si>
    <t>PROJ-MCR-CM-TPR-0002_RightsLight</t>
  </si>
  <si>
    <t>PC-M-007</t>
  </si>
  <si>
    <t>Landlord / Tenant / Lease Interface Schedule</t>
  </si>
  <si>
    <t>PROJ-MCR-CM-TPR-0003_Landlord</t>
  </si>
  <si>
    <t>PC-M-008</t>
  </si>
  <si>
    <t>Highways / Section 278 / Section 38 Obligations Schedule</t>
  </si>
  <si>
    <t>PROJ-MCR-CM-UTL-0001_Highways</t>
  </si>
  <si>
    <t>PC-M-009</t>
  </si>
  <si>
    <t>Drainage / Section 104 and Water Authority Schedule</t>
  </si>
  <si>
    <t>PROJ-MCR-CM-UTL-0002_Drainage</t>
  </si>
  <si>
    <t>PC-M-011</t>
  </si>
  <si>
    <t>Environmental Permits / Licences Cost Schedule</t>
  </si>
  <si>
    <t>PROJ-MCR-CM-UTL-0004_EnvironmentalPermits</t>
  </si>
  <si>
    <t>Access, Easement and Wayleave Register</t>
  </si>
  <si>
    <t>PROJ-MCR-CM-TPR-0004_Access</t>
  </si>
  <si>
    <t>PC-N-001</t>
  </si>
  <si>
    <t>Monthly Commercial Report Template</t>
  </si>
  <si>
    <t>PROJ-MCR-CM-TMP-0005_MonthlyCommercialReportTemplate</t>
  </si>
  <si>
    <t>PC-N-006</t>
  </si>
  <si>
    <t>Client Commercial Reporting Format</t>
  </si>
  <si>
    <t>PROJ-MCR-CM-RPT-0002_ClientCommercialReportingFormat</t>
  </si>
  <si>
    <t>PC-N-007</t>
  </si>
  <si>
    <t>Procurement Status Report</t>
  </si>
  <si>
    <t>PROJ-MCR-CM-RPC-0002_ProcurementStatusReport</t>
  </si>
  <si>
    <t>PC-N-010</t>
  </si>
  <si>
    <t>Decision and Approval Register</t>
  </si>
  <si>
    <t>PROJ-MCR-CM-MTG-0003_DecisionApprovalRegister</t>
  </si>
  <si>
    <t>PC-N-011</t>
  </si>
  <si>
    <t>Commercial Action Tracker</t>
  </si>
  <si>
    <t>PROJ-MCR-CM-MTG-0004_CommercialActionTracker</t>
  </si>
  <si>
    <t>PC-N-013</t>
  </si>
  <si>
    <t>Commercial File Structure and Naming Convention</t>
  </si>
  <si>
    <t>PROJ-MCR-CM-PROC-0008_CommercialFileStructureNamingConvention</t>
  </si>
  <si>
    <t>Data Access, Confidentiality and Retention Rules</t>
  </si>
  <si>
    <t>PROJ-MCR-CM-PROC-0009_DataAccess</t>
  </si>
  <si>
    <t>PC-O-009</t>
  </si>
  <si>
    <t>Advance Orders / Deposits / Free-Issue Materials Schedule</t>
  </si>
  <si>
    <t>PROJ-MCR-CM-EXP-0003_AdvanceOrders</t>
  </si>
  <si>
    <t>PC-O-011</t>
  </si>
  <si>
    <t>Pre-Start Commercial Briefing Record</t>
  </si>
  <si>
    <t>PROJ-MCR-CM-RDY-0004_PreStartCommercialBriefingRecord</t>
  </si>
  <si>
    <t>PC-O-012</t>
  </si>
  <si>
    <t>Final Account Strategy Note</t>
  </si>
  <si>
    <t>PROJ-MCR-CM-HND-0003_FinalAccountStrategyNote</t>
  </si>
  <si>
    <t>PC-O-013</t>
  </si>
  <si>
    <t>Handover Deliverables and Warranty Procurement Matrix</t>
  </si>
  <si>
    <t>PROJ-MCR-CM-HND-0004_HandoverDeliverablesWarrantyProcurementMatrix</t>
  </si>
  <si>
    <t>PC-C-013</t>
  </si>
  <si>
    <t>Samples, Mock-ups and Benchmark Cost Register</t>
  </si>
  <si>
    <t>Medium</t>
  </si>
  <si>
    <t>PROJ-MCR-CM-DCC-0005_Samples</t>
  </si>
  <si>
    <t>PC-E-008</t>
  </si>
  <si>
    <t>Tender List Approval Register</t>
  </si>
  <si>
    <t>PROJ-MCR-CM-SCM-0002_TenderListApprovalRegister</t>
  </si>
  <si>
    <t>Commercial Lessons Learned / Benchmark Brief</t>
  </si>
  <si>
    <t>7.0 › 7.40 Lessons Learned</t>
  </si>
  <si>
    <t>LSN</t>
  </si>
  <si>
    <t>PROJ-MCR-CM-LSN-0001_CommercialLessonsLearned</t>
  </si>
  <si>
    <t>PC-N-008</t>
  </si>
  <si>
    <t>Commercial KPI Schedule</t>
  </si>
  <si>
    <t>PROJ-MCR-CM-RPT-0003_CommercialKPISchedule</t>
  </si>
  <si>
    <t>PC-N-009</t>
  </si>
  <si>
    <t>Commercial Meeting Calendar and Terms of Reference</t>
  </si>
  <si>
    <t>PROJ-MCR-CM-MTG-0002_CommercialMeetingCalendarTermsReference</t>
  </si>
  <si>
    <t>Unsuccessful Tenderer Close-Out Record</t>
  </si>
  <si>
    <t>Low</t>
  </si>
  <si>
    <t>After award</t>
  </si>
  <si>
    <t>PROJ-MCR-CM-PAW-0008_UnsuccessfulTendererCloseOutRecord</t>
  </si>
  <si>
    <t>Pre-Construction Commercial — Folder Structure</t>
  </si>
  <si>
    <t>Purpose-built for the pre-construction phase. Naming: PROJ-MCR-CM-[TYPE]-[####]_[Title]. Your construction-phase tree is unchanged.</t>
  </si>
  <si>
    <t>L1 Code</t>
  </si>
  <si>
    <t>Level 1 Folder</t>
  </si>
  <si>
    <t>L2 Code</t>
  </si>
  <si>
    <t>Level 2 Folder</t>
  </si>
  <si>
    <t>Items</t>
  </si>
  <si>
    <t>0.0</t>
  </si>
  <si>
    <t>Admin &amp; Document Control</t>
  </si>
  <si>
    <t>0.10</t>
  </si>
  <si>
    <t>Commercial Procedures &amp; Protocols</t>
  </si>
  <si>
    <t>0.20</t>
  </si>
  <si>
    <t>Standard Templates</t>
  </si>
  <si>
    <t>0.30</t>
  </si>
  <si>
    <t>0.40</t>
  </si>
  <si>
    <t>Meetings, Contacts &amp; Decisions</t>
  </si>
  <si>
    <t>1.0</t>
  </si>
  <si>
    <t>1.10</t>
  </si>
  <si>
    <t>Tender Source Information (Frozen)</t>
  </si>
  <si>
    <t>1.20</t>
  </si>
  <si>
    <t>Priced Bid &amp; Assumptions</t>
  </si>
  <si>
    <t>1.30</t>
  </si>
  <si>
    <t>Bid Governance &amp; Submission</t>
  </si>
  <si>
    <t>2.0</t>
  </si>
  <si>
    <t>2.10</t>
  </si>
  <si>
    <t>Executed Contract &amp; Particulars</t>
  </si>
  <si>
    <t>2.20</t>
  </si>
  <si>
    <t>Tender-to-Contract Reconciliation</t>
  </si>
  <si>
    <t>2.30</t>
  </si>
  <si>
    <t>Contract Risk &amp; Liabilities</t>
  </si>
  <si>
    <t>2.40</t>
  </si>
  <si>
    <t>ER / CP &amp; Compliance</t>
  </si>
  <si>
    <t>2.50</t>
  </si>
  <si>
    <t>Contract Correspondence</t>
  </si>
  <si>
    <t>2.60</t>
  </si>
  <si>
    <t>Contract Pricing Basis</t>
  </si>
  <si>
    <t>3.0</t>
  </si>
  <si>
    <t>Scope, Design &amp; Cost Planning</t>
  </si>
  <si>
    <t>3.10</t>
  </si>
  <si>
    <t>Scope Definition &amp; Interfaces</t>
  </si>
  <si>
    <t>3.20</t>
  </si>
  <si>
    <t>Design Management</t>
  </si>
  <si>
    <t>3.30</t>
  </si>
  <si>
    <t>Design Cost Control</t>
  </si>
  <si>
    <t>3.40</t>
  </si>
  <si>
    <t>Consultant Appointments</t>
  </si>
  <si>
    <t>3.50</t>
  </si>
  <si>
    <t>Performance &amp; Handover Requirements</t>
  </si>
  <si>
    <t>3.60</t>
  </si>
  <si>
    <t>Cost Baseline</t>
  </si>
  <si>
    <t>3.70</t>
  </si>
  <si>
    <t>Cost Coding</t>
  </si>
  <si>
    <t>3.80</t>
  </si>
  <si>
    <t>Budget Build-Up</t>
  </si>
  <si>
    <t>3.90</t>
  </si>
  <si>
    <t>Provisional Sums, Contingency &amp; Value</t>
  </si>
  <si>
    <t>4.0</t>
  </si>
  <si>
    <t>Procurement &amp; Package Award</t>
  </si>
  <si>
    <t>4.10</t>
  </si>
  <si>
    <t>Procurement Strategy &amp; Schedule</t>
  </si>
  <si>
    <t>4.20</t>
  </si>
  <si>
    <t>Supply Chain Management</t>
  </si>
  <si>
    <t>4.30</t>
  </si>
  <si>
    <t>Responsible Procurement</t>
  </si>
  <si>
    <t>4.40</t>
  </si>
  <si>
    <t>Package Enquiry</t>
  </si>
  <si>
    <t>4.50</t>
  </si>
  <si>
    <t>Package Tender Analysis</t>
  </si>
  <si>
    <t>4.60</t>
  </si>
  <si>
    <t>Package Award &amp; Recommendation</t>
  </si>
  <si>
    <t>5.0</t>
  </si>
  <si>
    <t>5.10</t>
  </si>
  <si>
    <t>Order Control</t>
  </si>
  <si>
    <t>5.20</t>
  </si>
  <si>
    <t>Downstream Terms &amp; Flow-Down</t>
  </si>
  <si>
    <t>5.30</t>
  </si>
  <si>
    <t>Security &amp; Insurance</t>
  </si>
  <si>
    <t>5.40</t>
  </si>
  <si>
    <t>Materials &amp; Mobilisation</t>
  </si>
  <si>
    <t>6.0</t>
  </si>
  <si>
    <t>6.10</t>
  </si>
  <si>
    <t>Payment Framework</t>
  </si>
  <si>
    <t>6.20</t>
  </si>
  <si>
    <t>Cashflow &amp; Funding</t>
  </si>
  <si>
    <t>6.30</t>
  </si>
  <si>
    <t>Tax &amp; Payment Security</t>
  </si>
  <si>
    <t>7.0</t>
  </si>
  <si>
    <t>Risk, Governance &amp; Entitlement</t>
  </si>
  <si>
    <t>7.10</t>
  </si>
  <si>
    <t>Risk &amp; Opportunity Registers</t>
  </si>
  <si>
    <t>7.20</t>
  </si>
  <si>
    <t>Change &amp; Variation Control</t>
  </si>
  <si>
    <t>7.30</t>
  </si>
  <si>
    <t>Entitlement &amp; Claims Set-Up</t>
  </si>
  <si>
    <t>7.40</t>
  </si>
  <si>
    <t>Lessons Learned</t>
  </si>
  <si>
    <t>8.0</t>
  </si>
  <si>
    <t>8.10</t>
  </si>
  <si>
    <t>Baseline Programme &amp; Constraints</t>
  </si>
  <si>
    <t>8.20</t>
  </si>
  <si>
    <t>Delay &amp; LADs Commercials</t>
  </si>
  <si>
    <t>9.0</t>
  </si>
  <si>
    <t>9.10</t>
  </si>
  <si>
    <t>Project Insurances</t>
  </si>
  <si>
    <t>9.20</t>
  </si>
  <si>
    <t>Bonds &amp; Guarantees</t>
  </si>
  <si>
    <t>9.30</t>
  </si>
  <si>
    <t>Warranties &amp; Third-Party Rights</t>
  </si>
  <si>
    <t>10.0</t>
  </si>
  <si>
    <t>10.10</t>
  </si>
  <si>
    <t>Planning &amp; Statutory Obligations</t>
  </si>
  <si>
    <t>10.20</t>
  </si>
  <si>
    <t>Utilities &amp; Infrastructure</t>
  </si>
  <si>
    <t>10.30</t>
  </si>
  <si>
    <t>Third-Party &amp; Neighbour Rights</t>
  </si>
  <si>
    <t>10.40</t>
  </si>
  <si>
    <t>Ground &amp; Interface Risk</t>
  </si>
  <si>
    <t>11.0</t>
  </si>
  <si>
    <t>Commercial Reporting &amp; Controls</t>
  </si>
  <si>
    <t>11.10</t>
  </si>
  <si>
    <t>Reporting Framework</t>
  </si>
  <si>
    <t>11.20</t>
  </si>
  <si>
    <t>Cost &amp; Procurement Reporting</t>
  </si>
  <si>
    <t>12.0</t>
  </si>
  <si>
    <t>Mobilisation &amp; Pre-Start Handover</t>
  </si>
  <si>
    <t>12.10</t>
  </si>
  <si>
    <t>Commercial Readiness</t>
  </si>
  <si>
    <t>12.20</t>
  </si>
  <si>
    <t>Estimating-to-Delivery Handover</t>
  </si>
  <si>
    <t>12.30</t>
  </si>
  <si>
    <t>Package Readiness</t>
  </si>
  <si>
    <t>12.40</t>
  </si>
  <si>
    <t>Outstanding Commercial Exposure</t>
  </si>
  <si>
    <t>Pre-Construction Commercial Pack - Extensive Master Register</t>
  </si>
  <si>
    <t>Subcategory</t>
  </si>
  <si>
    <t>Purpose / Commercial Risk</t>
  </si>
  <si>
    <t>Include in Pack?</t>
  </si>
  <si>
    <t>Status</t>
  </si>
  <si>
    <t>Governance Tier</t>
  </si>
  <si>
    <t>Primary Owner</t>
  </si>
  <si>
    <t>Contributors</t>
  </si>
  <si>
    <t>Audience</t>
  </si>
  <si>
    <t>Frequency</t>
  </si>
  <si>
    <t>Due Date</t>
  </si>
  <si>
    <t>Current Version</t>
  </si>
  <si>
    <t>Storage Link / File Ref</t>
  </si>
  <si>
    <t>Source / Basis</t>
  </si>
  <si>
    <t>Notes / Action</t>
  </si>
  <si>
    <t>Meridian Owner</t>
  </si>
  <si>
    <t>Tender source information</t>
  </si>
  <si>
    <t>Defines the information and scope actually priced; preserve the complete issue as the tender baseline.</t>
  </si>
  <si>
    <t>TBC</t>
  </si>
  <si>
    <t>Not Started</t>
  </si>
  <si>
    <t>Tier 2 - Commercial Review</t>
  </si>
  <si>
    <t>Estimator</t>
  </si>
  <si>
    <t>Commercial Manager</t>
  </si>
  <si>
    <t>Internal / Client</t>
  </si>
  <si>
    <t>Once</t>
  </si>
  <si>
    <t>Source Word register</t>
  </si>
  <si>
    <t>1.0 Tender &amp; Bid Baseline</t>
  </si>
  <si>
    <t>1.10 Tender Source Information (Frozen)</t>
  </si>
  <si>
    <t>Design Manager</t>
  </si>
  <si>
    <t>Internal</t>
  </si>
  <si>
    <t>Expanded recommendation</t>
  </si>
  <si>
    <t>Captures every bulletin, revised document and pricing instruction issued during tender.</t>
  </si>
  <si>
    <t>Design Manager; QS</t>
  </si>
  <si>
    <t>Live during tender</t>
  </si>
  <si>
    <t>Records queries, responses, assumptions and unanswered matters affecting scope or price.</t>
  </si>
  <si>
    <t>Records visible conditions, access, logistics and constraints relied upon in pricing.</t>
  </si>
  <si>
    <t>Tier 3 - Internal Control</t>
  </si>
  <si>
    <t>Project Manager; Design Manager</t>
  </si>
  <si>
    <t>Once / each visit</t>
  </si>
  <si>
    <t>Controls all mandatory return documents, forms, declarations and submission deadlines.</t>
  </si>
  <si>
    <t>Preserves the submitted price, quantities, rates, resource assumptions and allowances.</t>
  </si>
  <si>
    <t>QS; Commercial Manager</t>
  </si>
  <si>
    <t>1.20 Priced Bid &amp; Assumptions</t>
  </si>
  <si>
    <t>Primary record of items included, excluded or qualified; must be carried into the contract.</t>
  </si>
  <si>
    <t>Tier 1 - Board / Client Visibility</t>
  </si>
  <si>
    <t>Estimator; Legal</t>
  </si>
  <si>
    <t>Update through negotiation</t>
  </si>
  <si>
    <t>Both source lists</t>
  </si>
  <si>
    <t>1.30 Bid Governance &amp; Submission</t>
  </si>
  <si>
    <t>Records the duration, sequencing, access and procurement assumptions underpinning the price.</t>
  </si>
  <si>
    <t>Planner</t>
  </si>
  <si>
    <t>Commercial Manager; Project Manager</t>
  </si>
  <si>
    <t>Once / agreed revision</t>
  </si>
  <si>
    <t>Formal internal approval of price, margin, risk, qualifications and authority to submit.</t>
  </si>
  <si>
    <t>Commercial Director</t>
  </si>
  <si>
    <t>Commercial Manager; Estimator</t>
  </si>
  <si>
    <t>Board / Internal</t>
  </si>
  <si>
    <t>Quantifies bid risks, opportunities, owners, mitigations and allowances included in the tender.</t>
  </si>
  <si>
    <t>Estimator; Project Manager</t>
  </si>
  <si>
    <t>Confirms any tender bond, validity period, wording and release requirements.</t>
  </si>
  <si>
    <t>Finance; Legal</t>
  </si>
  <si>
    <t>Client / Internal</t>
  </si>
  <si>
    <t>Main contract and appointments</t>
  </si>
  <si>
    <t>Identifies every movement between tender and signed deal, including qualifications that were lost or amended.</t>
  </si>
  <si>
    <t>Once before execution</t>
  </si>
  <si>
    <t>2.0 Contract Formation</t>
  </si>
  <si>
    <t>2.20 Tender-to-Contract Reconciliation</t>
  </si>
  <si>
    <t>Complete signed contract including articles, conditions, schedules, amendments and appendices.</t>
  </si>
  <si>
    <t>Commercial Manager; Legal</t>
  </si>
  <si>
    <t>Client / Board</t>
  </si>
  <si>
    <t>2.10 Executed Contract &amp; Particulars</t>
  </si>
  <si>
    <t>Summarises dates, retention, LADs, defects period, payment terms, insurance, bonds and caps.</t>
  </si>
  <si>
    <t>Legal</t>
  </si>
  <si>
    <t>Once / revise if amended</t>
  </si>
  <si>
    <t>Source workbook</t>
  </si>
  <si>
    <t>Commercial Manager; Design Manager</t>
  </si>
  <si>
    <t>Once / each agreed revision</t>
  </si>
  <si>
    <t>2.40 ER / CP &amp; Compliance</t>
  </si>
  <si>
    <t>Indexes all CP documents and records the contractor’s offered solution.</t>
  </si>
  <si>
    <t>Identifies omissions, conflicts and departures between ER, CP, tender and contract documents.</t>
  </si>
  <si>
    <t>Live until closed</t>
  </si>
  <si>
    <t>Agreed value breakdown used for payment, change valuation and budget control.</t>
  </si>
  <si>
    <t>QS</t>
  </si>
  <si>
    <t>Estimator; Commercial Manager</t>
  </si>
  <si>
    <t>Once / agreed revisions</t>
  </si>
  <si>
    <t>2.60 Contract Pricing Basis</t>
  </si>
  <si>
    <t>Preserves the contractual pricing basis, quantities, rates and valuation rules.</t>
  </si>
  <si>
    <t>Captures the operative NEC documents and defined obligations where NEC is used.</t>
  </si>
  <si>
    <t>Legal; Project Manager</t>
  </si>
  <si>
    <t>Controls scope, value cap, expiry, insurance and termination rights before full contract.</t>
  </si>
  <si>
    <t>Legal; Finance</t>
  </si>
  <si>
    <t>Live until superseded</t>
  </si>
  <si>
    <t>2.30 Contract Risk &amp; Liabilities</t>
  </si>
  <si>
    <t>Defines PCSA deliverables, fees, IP, design responsibility and transition into the main contract.</t>
  </si>
  <si>
    <t>Design Manager; Finance</t>
  </si>
  <si>
    <t>Monthly</t>
  </si>
  <si>
    <t>Weekly</t>
  </si>
  <si>
    <t>Evidence that the final contract position is approved at the correct authority level.</t>
  </si>
  <si>
    <t>Commercial Manager; Finance</t>
  </si>
  <si>
    <t>Single schedule of due dates, notice periods, sectional completion, LADs, payment and expiry dates.</t>
  </si>
  <si>
    <t>Planner; QS</t>
  </si>
  <si>
    <t>Live</t>
  </si>
  <si>
    <t>Document Controller</t>
  </si>
  <si>
    <t>Records adjudication, arbitration/litigation, jurisdiction and escalation provisions.</t>
  </si>
  <si>
    <t>Records consent, novation, assignment and corporate-change obligations.</t>
  </si>
  <si>
    <t>Scope definition and design interface</t>
  </si>
  <si>
    <t>Allocates every scope element to employer, contractor, consultant, subcontractor or third party.</t>
  </si>
  <si>
    <t>Design Manager; Project Manager</t>
  </si>
  <si>
    <t>Live until design freeze</t>
  </si>
  <si>
    <t>3.0 Scope, Design &amp; Cost Planning</t>
  </si>
  <si>
    <t>3.10 Scope Definition &amp; Interfaces</t>
  </si>
  <si>
    <t>Allocates work across packages and exposes gaps, overlaps and double-counting.</t>
  </si>
  <si>
    <t>Defines boundaries between trades including builder’s work, supports, penetrations, firestopping and making good.</t>
  </si>
  <si>
    <t>QS; Project Manager</t>
  </si>
  <si>
    <t>3.20 Design Management</t>
  </si>
  <si>
    <t>QS; Planner</t>
  </si>
  <si>
    <t>Compares developing design against approved package budgets and flags overspend before tender.</t>
  </si>
  <si>
    <t>Design Manager; Estimator</t>
  </si>
  <si>
    <t>Fortnightly / monthly</t>
  </si>
  <si>
    <t>3.30 Design Cost Control</t>
  </si>
  <si>
    <t>Formal cost report and approval at each RIBA/design stage before the next stage proceeds.</t>
  </si>
  <si>
    <t>QS; Design Manager</t>
  </si>
  <si>
    <t>Separates contractual compliance from enhancements that require client approval and funding.</t>
  </si>
  <si>
    <t>Reconciles room requirements and quantities to the cost plan and scope.</t>
  </si>
  <si>
    <t>At each design freeze</t>
  </si>
  <si>
    <t>Records required samples/mock-ups, ownership, cost allowance and approval consequences.</t>
  </si>
  <si>
    <t>Confirms consultant deliverables, exclusions, fee, programme, PI and collateral warranty obligations.</t>
  </si>
  <si>
    <t>Design Manager; Legal</t>
  </si>
  <si>
    <t>Per appointment</t>
  </si>
  <si>
    <t>3.40 Consultant Appointments</t>
  </si>
  <si>
    <t>Controls agreed fees, additional services, payment milestones and remaining forecast.</t>
  </si>
  <si>
    <t>Identifies BIM, CDE, COBie, model and information-delivery obligations with cost/resource impacts.</t>
  </si>
  <si>
    <t>Commercial Manager; BIM Manager</t>
  </si>
  <si>
    <t>Once / change</t>
  </si>
  <si>
    <t>Captures performance, testing, witnessing, seasonal commissioning and evidence requirements within trade scopes.</t>
  </si>
  <si>
    <t>MEP Manager; QS</t>
  </si>
  <si>
    <t>3.50 Performance &amp; Handover Requirements</t>
  </si>
  <si>
    <t>Defines handover deliverables early and allocates them into procurement packages.</t>
  </si>
  <si>
    <t>Document Controller; QS</t>
  </si>
  <si>
    <t>Cost baseline and coding</t>
  </si>
  <si>
    <t>Internal trade and element cost baseline including quantities, rates, allowances and exclusions.</t>
  </si>
  <si>
    <t>3.60 Cost Baseline</t>
  </si>
  <si>
    <t>Cost analysis by NRM element to track design development and benchmark value.</t>
  </si>
  <si>
    <t>Common coding hierarchy linking scope, procurement, programme, commitments and reporting.</t>
  </si>
  <si>
    <t>Planner; Finance</t>
  </si>
  <si>
    <t>Once / controlled revisions</t>
  </si>
  <si>
    <t>3.70 Cost Coding</t>
  </si>
  <si>
    <t>Coding framework used for orders, invoices, CVR, cashflow and final account.</t>
  </si>
  <si>
    <t>Finance; QS</t>
  </si>
  <si>
    <t>Maps every budget allowance to a cost code, package and responsible QS.</t>
  </si>
  <si>
    <t>Establishes contract value, budget, margin, risk and forecast baseline handed to delivery.</t>
  </si>
  <si>
    <t>QS; Finance</t>
  </si>
  <si>
    <t>Separates fixed and time-related preliminaries, staffing, plant, logistics and temporary services.</t>
  </si>
  <si>
    <t>Project Manager; Planner</t>
  </si>
  <si>
    <t>Monthly forecast</t>
  </si>
  <si>
    <t>3.80 Budget Build-Up</t>
  </si>
  <si>
    <t>Budgets consultant, specialist design, surveys, approvals and design-management costs.</t>
  </si>
  <si>
    <t>Budgets design, checking, materials, installation, inspection and removal of temporary works.</t>
  </si>
  <si>
    <t>Temporary Works Coordinator</t>
  </si>
  <si>
    <t>Tests welfare, hoarding, cranes, hoists, scaffolding, security, utilities and access against programme duration.</t>
  </si>
  <si>
    <t>At logistics revisions</t>
  </si>
  <si>
    <t>Captures applications, upgrades, diversions, temporary supplies, meters and authority charges.</t>
  </si>
  <si>
    <t>MEP Manager</t>
  </si>
  <si>
    <t>Quantifies tender-date to procurement-date exposure by labour, material and package.</t>
  </si>
  <si>
    <t>3.90 Provisional Sums, Contingency &amp; Value</t>
  </si>
  <si>
    <t>Records foreign currency, steel, fuel or other indexed exposure and mitigation.</t>
  </si>
  <si>
    <t>Finance; Procurement</t>
  </si>
  <si>
    <t>Records definitions, allowances, scope, procurement route, expenditure and adjustment rules.</t>
  </si>
  <si>
    <t>Separates client, design, construction and commercial contingency with approval rules.</t>
  </si>
  <si>
    <t>Reconciles quantified risk exposure to explicit allowances and contingency in the cost plan.</t>
  </si>
  <si>
    <t>Records proposal, baseline, saving, design/programme effects, approvals and implementation.</t>
  </si>
  <si>
    <t>Tests key rates and allowances against historic projects, live tenders and market intelligence.</t>
  </si>
  <si>
    <t>QS; Procurement</t>
  </si>
  <si>
    <t>At cost plan revisions</t>
  </si>
  <si>
    <t>Central record of measurement rules, scope assumptions, exclusions and unresolved cost items.</t>
  </si>
  <si>
    <t>Shows contract cost, client direct costs, fees, risk and VAT against available funding.</t>
  </si>
  <si>
    <t>Client QS; Finance</t>
  </si>
  <si>
    <t>Planning and market engagement</t>
  </si>
  <si>
    <t>Defines package structure, procurement route, competition, design responsibility and award governance.</t>
  </si>
  <si>
    <t>Procurement; Project Manager</t>
  </si>
  <si>
    <t>Once / major revision</t>
  </si>
  <si>
    <t>4.0 Procurement &amp; Package Award</t>
  </si>
  <si>
    <t>4.10 Procurement Strategy &amp; Schedule</t>
  </si>
  <si>
    <t>Links enquiry, tender, analysis, approval, order, design and delivery to need dates.</t>
  </si>
  <si>
    <t>Live package position from scope development through executed order.</t>
  </si>
  <si>
    <t>Procurement</t>
  </si>
  <si>
    <t>Controls technical approval, deposit, manufacture, inspection, delivery and programme float.</t>
  </si>
  <si>
    <t>Planner; Design Manager</t>
  </si>
  <si>
    <t>Defines package owner, technical lead, approver and signatory.</t>
  </si>
  <si>
    <t>Procurement; Design Manager</t>
  </si>
  <si>
    <t>Once / team change</t>
  </si>
  <si>
    <t>Records target and actual award dates, budget, award value and approval status.</t>
  </si>
  <si>
    <t>Identifies bidder pool, engagement timing, market capacity, geographic reach and fallback options.</t>
  </si>
  <si>
    <t>4.20 Supply Chain Management</t>
  </si>
  <si>
    <t>Evidence that bidders were approved before confidential information and enquiries were issued.</t>
  </si>
  <si>
    <t>Per package</t>
  </si>
  <si>
    <t>List of authorised suppliers and subcontractors with approved trade categories.</t>
  </si>
  <si>
    <t>H&amp;S; Finance</t>
  </si>
  <si>
    <t>Financial, technical, compliance, capacity, insurance and safety checks for bidders.</t>
  </si>
  <si>
    <t>Finance; H&amp;S; QS</t>
  </si>
  <si>
    <t>Per bidder / annual refresh</t>
  </si>
  <si>
    <t>Finance</t>
  </si>
  <si>
    <t>Records delivery, capacity, financial, quality, design and programme risk by package.</t>
  </si>
  <si>
    <t>Documents why competition is not available and demonstrates value for money and approval.</t>
  </si>
  <si>
    <t>Board / Client</t>
  </si>
  <si>
    <t>Records mandatory supply-chain compliance and any client-specific declarations.</t>
  </si>
  <si>
    <t>Legal; H&amp;S</t>
  </si>
  <si>
    <t>Allocates contractual social-value, apprenticeship, SME and local-spend obligations to packages.</t>
  </si>
  <si>
    <t>Project Manager; QS</t>
  </si>
  <si>
    <t>4.30 Responsible Procurement</t>
  </si>
  <si>
    <t>Captures FSC/PEFC, BES 6001, EPD, recycled content and embodied-carbon evidence requirements.</t>
  </si>
  <si>
    <t>Sustainability Lead; Design Manager</t>
  </si>
  <si>
    <t>Package enquiry and adjudication</t>
  </si>
  <si>
    <t>4.40 Package Enquiry</t>
  </si>
  <si>
    <t>Controls issue of scope, drawings, specifications, programme, prelims and return schedules.</t>
  </si>
  <si>
    <t>Forces comparable returns and exposes allowances, quantities, rates, exclusions and proposed changes.</t>
  </si>
  <si>
    <t>Internal / Bidder</t>
  </si>
  <si>
    <t>Maintains a fair, auditable record of clarifications given to bidders.</t>
  </si>
  <si>
    <t>Records invitations, returns, withdrawals, late bids and completeness.</t>
  </si>
  <si>
    <t>4.50 Package Tender Analysis</t>
  </si>
  <si>
    <t>Levels price, scope, qualifications, programme and commercial terms across bidders.</t>
  </si>
  <si>
    <t>Records clarifications and commitments made during bidder meetings.</t>
  </si>
  <si>
    <t>4.60 Package Award &amp; Recommendation</t>
  </si>
  <si>
    <t>Final record of agreed scope, price, programme, terms, design and outstanding actions before commitment.</t>
  </si>
  <si>
    <t>Internal / Subcontractor</t>
  </si>
  <si>
    <t>Documents value-for-money assessment, risk, budget movement and recommendation to award.</t>
  </si>
  <si>
    <t>Confirms commitment is authorised at the correct value and risk level.</t>
  </si>
  <si>
    <t>Commercial Director; Finance</t>
  </si>
  <si>
    <t>Records package award against budget and distinguishes real savings from scope transfer or risk.</t>
  </si>
  <si>
    <t>Weekly / monthly</t>
  </si>
  <si>
    <t>Provides an auditable record of negotiation movements, concessions and final agreed basis.</t>
  </si>
  <si>
    <t>Confirms offer validity, fixed-price period, inflation terms and conditions before award.</t>
  </si>
  <si>
    <t>Records notification and preserves procurement audit trail.</t>
  </si>
  <si>
    <t>Orders and downstream risk</t>
  </si>
  <si>
    <t>Master schedule of package, contractor, value, form, status and execution date.</t>
  </si>
  <si>
    <t>5.0 Subcontract Formation</t>
  </si>
  <si>
    <t>5.10 Order Control</t>
  </si>
  <si>
    <t>Standard forms approved for the project and aligned with main-contract obligations.</t>
  </si>
  <si>
    <t>0.0 Admin &amp; Document Control</t>
  </si>
  <si>
    <t>0.20 Standard Templates</t>
  </si>
  <si>
    <t>Legal; Design Manager</t>
  </si>
  <si>
    <t>5.20 Downstream Terms &amp; Flow-Down</t>
  </si>
  <si>
    <t>Legal; QS</t>
  </si>
  <si>
    <t>Incorporates design, approvals, procurement, mobilisation, work and handover milestones.</t>
  </si>
  <si>
    <t>Aligns downstream delay recovery with upstream exposure and actual likely loss.</t>
  </si>
  <si>
    <t>Legal; Planner</t>
  </si>
  <si>
    <t>Allocates warranty providers, beneficiaries, form, execution method and delivery date.</t>
  </si>
  <si>
    <t>5.30 Security &amp; Insurance</t>
  </si>
  <si>
    <t>Sets works, PL, EL, PI, product and other cover requirements with expiry monitoring.</t>
  </si>
  <si>
    <t>Insurance Broker; Procurement</t>
  </si>
  <si>
    <t>Defines security wording, value, expiry and release conditions.</t>
  </si>
  <si>
    <t>Controls scope, cap, expiry, authority, insurance and conversion to full order.</t>
  </si>
  <si>
    <t>QS; Legal</t>
  </si>
  <si>
    <t>Confirms signature status, counterpart, deed execution and storage location.</t>
  </si>
  <si>
    <t>Document Controller; Legal</t>
  </si>
  <si>
    <t>Protects title, identification, insurance and access rights for paid off-site materials.</t>
  </si>
  <si>
    <t>Per item</t>
  </si>
  <si>
    <t>5.40 Materials &amp; Mobilisation</t>
  </si>
  <si>
    <t>Project Manager</t>
  </si>
  <si>
    <t>Upstream and downstream cash controls</t>
  </si>
  <si>
    <t>Lists application, due, notice, final and payment dates including non-business day rules.</t>
  </si>
  <si>
    <t>Once / contract change</t>
  </si>
  <si>
    <t>6.0 Cashflow, Payment &amp; Tax</t>
  </si>
  <si>
    <t>6.10 Payment Framework</t>
  </si>
  <si>
    <t>Client QS</t>
  </si>
  <si>
    <t>Forecasts upstream receipts and downstream cash by month and identifies funding gaps.</t>
  </si>
  <si>
    <t>Finance; Planner</t>
  </si>
  <si>
    <t>6.20 Cashflow &amp; Funding</t>
  </si>
  <si>
    <t>Quantifies maximum negative cash and finance requirement under realistic payment timings.</t>
  </si>
  <si>
    <t>At major programme or payment change</t>
  </si>
  <si>
    <t>Tracks upstream and downstream retention, caps, release triggers and forecast release dates.</t>
  </si>
  <si>
    <t>6.30 Tax &amp; Payment Security</t>
  </si>
  <si>
    <t>Records account rules, beneficiaries, joining deeds and payment processes where applicable.</t>
  </si>
  <si>
    <t>Defines monthly accruals, GRNs, invoice coding and cost-report cut-off.</t>
  </si>
  <si>
    <t>0.10 Commercial Procedures &amp; Protocols</t>
  </si>
  <si>
    <t>Defines proof required to include materials in upstream applications and downstream valuations.</t>
  </si>
  <si>
    <t>Once / each valuation</t>
  </si>
  <si>
    <t>Commercial governance</t>
  </si>
  <si>
    <t>Quantifies exposure, probability, mitigation, owner, allowance and residual risk.</t>
  </si>
  <si>
    <t>7.0 Risk, Governance &amp; Entitlement</t>
  </si>
  <si>
    <t>7.10 Risk &amp; Opportunity Registers</t>
  </si>
  <si>
    <t>Turns each material risk into dated actions with accountable owners.</t>
  </si>
  <si>
    <t>Risk Owners</t>
  </si>
  <si>
    <t>Makes responsibility and escalation unambiguous across the project team.</t>
  </si>
  <si>
    <t>Records savings, recovery opportunities, probability, actions and forecast benefit.</t>
  </si>
  <si>
    <t>Provides contemporaneous record of risk challenge, decisions and management actions.</t>
  </si>
  <si>
    <t>Project Team</t>
  </si>
  <si>
    <t>0.40 Meetings, Contacts &amp; Decisions</t>
  </si>
  <si>
    <t>Allocates estimating, procurement, cost reporting, change, notices and final-account duties.</t>
  </si>
  <si>
    <t>Records conflicts affecting procurement, appointment or approval decisions.</t>
  </si>
  <si>
    <t>Procurement; Legal</t>
  </si>
  <si>
    <t>Per decision / annual</t>
  </si>
  <si>
    <t>Protects procurement integrity and confirms compliance with company and client requirements.</t>
  </si>
  <si>
    <t>At onboarding / trigger</t>
  </si>
  <si>
    <t>Project Director</t>
  </si>
  <si>
    <t>Brings previous project losses, claims and procurement lessons into package strategy.</t>
  </si>
  <si>
    <t>Once / key stage</t>
  </si>
  <si>
    <t>7.40 Lessons Learned</t>
  </si>
  <si>
    <t>Entitlement protection</t>
  </si>
  <si>
    <t>Defines identification, instruction, quotation, approval, implementation and reporting of change.</t>
  </si>
  <si>
    <t>Live record of instructed and anticipated changes, time, cost, status and payment.</t>
  </si>
  <si>
    <t>Live / monthly report</t>
  </si>
  <si>
    <t>7.20 Change &amp; Variation Control</t>
  </si>
  <si>
    <t>Records every instruction, authority, issue date and commercial/programme response.</t>
  </si>
  <si>
    <t>7.30 Entitlement &amp; Claims Set-Up</t>
  </si>
  <si>
    <t>Records emerging cost/programme risks and required mitigation where contractually applicable.</t>
  </si>
  <si>
    <t>Commercial Manager; Planner</t>
  </si>
  <si>
    <t>Tracks delay events, notices, cause/effect, programme analysis and submission status.</t>
  </si>
  <si>
    <t>Controls authorisation, daily records, signatures, mark-ups, valuation and recovery.</t>
  </si>
  <si>
    <t>Once / audit monthly</t>
  </si>
  <si>
    <t>Controls notice, evidence, valuation and recovery from defaulting supply-chain parties.</t>
  </si>
  <si>
    <t>Identifies target position, recoveries, concessions, evidence gaps, ownership and negotiation strategy.</t>
  </si>
  <si>
    <t>Monthly / quarterly</t>
  </si>
  <si>
    <t>Defines when legal advice is sought and how privileged material is controlled.</t>
  </si>
  <si>
    <t>Once / trigger</t>
  </si>
  <si>
    <t>Programme commercial controls</t>
  </si>
  <si>
    <t>Preserves the programme against which delay, progress and compensation are assessed.</t>
  </si>
  <si>
    <t>Project Manager; Commercial Manager</t>
  </si>
  <si>
    <t>Once / formal revision</t>
  </si>
  <si>
    <t>8.0 Programme &amp; Delay Commercials</t>
  </si>
  <si>
    <t>8.10 Baseline Programme &amp; Constraints</t>
  </si>
  <si>
    <t>Records access, working hours, approvals, possessions, interfaces and client dependencies.</t>
  </si>
  <si>
    <t>Aligns contractual milestones, LAD exposure, access and package obligations.</t>
  </si>
  <si>
    <t>8.20 Delay &amp; LADs Commercials</t>
  </si>
  <si>
    <t>Provides contract-compliant notices and structured evidence requirements before events occur.</t>
  </si>
  <si>
    <t>Planner; Legal</t>
  </si>
  <si>
    <t>Records project approach to float, concurrency and mitigation before disputes arise.</t>
  </si>
  <si>
    <t>Quantifies schedule uncertainty and its commercial consequences.</t>
  </si>
  <si>
    <t>At baseline / major change</t>
  </si>
  <si>
    <t>Risk transfer and security</t>
  </si>
  <si>
    <t>Confirms correct works, existing structures, PL, EL, PI and other cover before work starts.</t>
  </si>
  <si>
    <t>Insurance Broker; Legal</t>
  </si>
  <si>
    <t>At inception / renewal</t>
  </si>
  <si>
    <t>9.0 Insurance, Security &amp; Warranties</t>
  </si>
  <si>
    <t>9.10 Project Insurances</t>
  </si>
  <si>
    <t>Allocates policies, insured parties, deductibles, limits and evidence responsibilities.</t>
  </si>
  <si>
    <t>Tracks wording, issuer, value, expiry, reduction and release.</t>
  </si>
  <si>
    <t>9.20 Bonds &amp; Guarantees</t>
  </si>
  <si>
    <t>Tracks required PCGs, execution, validity, release and corporate approvals.</t>
  </si>
  <si>
    <t>Tracks providers, beneficiaries, wording, execution route, status and delivery date.</t>
  </si>
  <si>
    <t>9.30 Warranties &amp; Third-Party Rights</t>
  </si>
  <si>
    <t>Identifies rights granted, beneficiaries, step-in rights and equivalent subcontract flow-down.</t>
  </si>
  <si>
    <t>Tracks product, workmanship, design and specialist warranties required for handover.</t>
  </si>
  <si>
    <t>Design Manager; Document Controller</t>
  </si>
  <si>
    <t>Tracks designers, subcontract designers, limits, expiry and required run-off period.</t>
  </si>
  <si>
    <t>Legal; Commercial Manager</t>
  </si>
  <si>
    <t>Quarterly / renewal</t>
  </si>
  <si>
    <t>Records provider inspections, fees, technical requirements and certification milestones.</t>
  </si>
  <si>
    <t>Consents and external obligations</t>
  </si>
  <si>
    <t>Tracks discharge conditions, obligations, fees, works and cost owners.</t>
  </si>
  <si>
    <t>Design Manager; Planner</t>
  </si>
  <si>
    <t>10.0 Property, Statutory &amp; Third Parties</t>
  </si>
  <si>
    <t>10.10 Planning &amp; Statutory Obligations</t>
  </si>
  <si>
    <t>Records financial contributions, triggers, indexation, works obligations and responsibility.</t>
  </si>
  <si>
    <t>Legal; Client</t>
  </si>
  <si>
    <t>At trigger / monthly</t>
  </si>
  <si>
    <t>Tracks notices, awards, surveyor fees, access constraints, protections and contractor obligations.</t>
  </si>
  <si>
    <t>10.30 Third-Party &amp; Neighbour Rights</t>
  </si>
  <si>
    <t>Records third-party rights, licences, fees, conditions and programme restrictions.</t>
  </si>
  <si>
    <t>Identifies lease obligations, approvals, landlord works, tenant works and cost responsibilities.</t>
  </si>
  <si>
    <t>Records scope, bonds, fees, approvals, commuted sums and adoption requirements.</t>
  </si>
  <si>
    <t>Civils Manager; Legal</t>
  </si>
  <si>
    <t>10.20 Utilities &amp; Infrastructure</t>
  </si>
  <si>
    <t>Records applications, bonds, inspections, diversions, adoption and connection charges.</t>
  </si>
  <si>
    <t>Civils Manager; MEP Manager</t>
  </si>
  <si>
    <t>Captures existing services risk, quotations, lead times, capacity, diversions and permanent connections.</t>
  </si>
  <si>
    <t>Records permits, consents, monitoring, fees and compliance resource.</t>
  </si>
  <si>
    <t>Environmental Lead; QS</t>
  </si>
  <si>
    <t>10.40 Ground &amp; Interface Risk</t>
  </si>
  <si>
    <t>Records rights needed for access, services, compounds and permanent infrastructure.</t>
  </si>
  <si>
    <t>Defines scope, attendance, programme, warranty, payment and liability interfaces.</t>
  </si>
  <si>
    <t>Commercial reporting system</t>
  </si>
  <si>
    <t>Standard report for cost, value, cash, procurement, risk, change and forecast.</t>
  </si>
  <si>
    <t>Defines monthly cut-off, responsibilities, review dates and approval route.</t>
  </si>
  <si>
    <t>Compares budget, commitments, accruals, actual cost, value, risk and forecast margin.</t>
  </si>
  <si>
    <t>11.0 Commercial Reporting &amp; Controls</t>
  </si>
  <si>
    <t>11.10 Reporting Framework</t>
  </si>
  <si>
    <t>Forecasts remaining commitments and final cost by package and cost code.</t>
  </si>
  <si>
    <t>11.20 Cost &amp; Procurement Reporting</t>
  </si>
  <si>
    <t>Agrees report content, cut-off, narrative, evidence, KPIs and meeting cycle.</t>
  </si>
  <si>
    <t>Once / revision</t>
  </si>
  <si>
    <t>Summarises tender, approval, award, execution, long-lead and risk position.</t>
  </si>
  <si>
    <t>Defines measures for buying, margin, cash, change recovery, notices, orders and final account.</t>
  </si>
  <si>
    <t>Defines meetings, attendees, decisions, actions, reporting and escalation.</t>
  </si>
  <si>
    <t>Records client and internal approvals affecting scope, cost, programme or risk.</t>
  </si>
  <si>
    <t>Tracks actions from reports, risk reviews, procurement meetings and approvals.</t>
  </si>
  <si>
    <t>Commercial Team</t>
  </si>
  <si>
    <t>Defines numbering, revision, approval, issue, superseded status and storage.</t>
  </si>
  <si>
    <t>Creates a consistent, searchable evidence base for every package and control.</t>
  </si>
  <si>
    <t>Controls commercially sensitive bids, rates, personal data and legal retention periods.</t>
  </si>
  <si>
    <t>Legal; IT</t>
  </si>
  <si>
    <t>Once / annual review</t>
  </si>
  <si>
    <t>Pre-construction completion</t>
  </si>
  <si>
    <t>Formally transfers tender scope, assumptions, qualifications, risks and opportunities to delivery.</t>
  </si>
  <si>
    <t>Estimator; QS; Project Manager</t>
  </si>
  <si>
    <t>12.0 Mobilisation &amp; Pre-Start Handover</t>
  </si>
  <si>
    <t>12.20 Estimating-to-Delivery Handover</t>
  </si>
  <si>
    <t>Commercial Manager; Project Director</t>
  </si>
  <si>
    <t>12.10 Commercial Readiness</t>
  </si>
  <si>
    <t>Confirms systems, cost codes, templates, calendars, folders, authority and team responsibilities.</t>
  </si>
  <si>
    <t>QS; Finance; Document Controller</t>
  </si>
  <si>
    <t>Confirms scope, design, budget, bidder list, programme and approvals before enquiry.</t>
  </si>
  <si>
    <t>12.30 Package Readiness</t>
  </si>
  <si>
    <t>Confirms order, scope, programme, design, insurance, RAMS, bonds and warranties before mobilisation.</t>
  </si>
  <si>
    <t>Project Manager; H&amp;S</t>
  </si>
  <si>
    <t>Lists unresolved decisions, cost exposure, owner, deadline and default assumption.</t>
  </si>
  <si>
    <t>Project Director; Client QS</t>
  </si>
  <si>
    <t>12.40 Outstanding Commercial Exposure</t>
  </si>
  <si>
    <t>Confirms each tender assumption is incorporated, agreed, priced or escalated before commencement.</t>
  </si>
  <si>
    <t>Shows uncommitted scope, budget, forecast, procurement date and programme exposure.</t>
  </si>
  <si>
    <t>Tracks early commitments, security, ownership, delivery and budget treatment.</t>
  </si>
  <si>
    <t>Procurement; Finance</t>
  </si>
  <si>
    <t>Formal approval of starting margin, forecast cost, cash and risk position.</t>
  </si>
  <si>
    <t>Evidence that delivery staff understand payment, notices, change, records, scope and authority rules.</t>
  </si>
  <si>
    <t>Once / new staff</t>
  </si>
  <si>
    <t>Sets recoveries, evidence needs, negotiation position and close-out priorities from day one.</t>
  </si>
  <si>
    <t>Quarterly update</t>
  </si>
  <si>
    <t>Ensures O&amp;M, commissioning, training, certificates and warranties are included in orders.</t>
  </si>
  <si>
    <t>QS; Document Controller</t>
  </si>
  <si>
    <t>Records reviewer, approval date, revision and controlled issue of the pre-construction pack.</t>
  </si>
  <si>
    <t>Commercial Manager; Document Controller</t>
  </si>
  <si>
    <t>Folder Coverage — items per Level 1 folder</t>
  </si>
  <si>
    <t>TOTAL</t>
  </si>
  <si>
    <t>Pre-Construction Commercial Pack - Control Dashboard</t>
  </si>
  <si>
    <t>Extensive master checklist. Set “Include in Pack?” to Yes / No after project review; do not treat every item as automatically applicable.</t>
  </si>
  <si>
    <t>Control</t>
  </si>
  <si>
    <t>Count</t>
  </si>
  <si>
    <t>Progress</t>
  </si>
  <si>
    <t>Result</t>
  </si>
  <si>
    <t>Total documents</t>
  </si>
  <si>
    <t>Applicability reviewed</t>
  </si>
  <si>
    <t>Included - Yes</t>
  </si>
  <si>
    <t>Completed</t>
  </si>
  <si>
    <t>Excluded - No</t>
  </si>
  <si>
    <t>In progress</t>
  </si>
  <si>
    <t>Still TBC</t>
  </si>
  <si>
    <t>Overdue open items</t>
  </si>
  <si>
    <t>Critical priority</t>
  </si>
  <si>
    <t>Source items retained</t>
  </si>
  <si>
    <t>Total</t>
  </si>
  <si>
    <t>Include Yes</t>
  </si>
  <si>
    <t>How to Use This Register</t>
  </si>
  <si>
    <t>Owner Lookup</t>
  </si>
  <si>
    <t>Field</t>
  </si>
  <si>
    <t>Required use</t>
  </si>
  <si>
    <t>Do not do</t>
  </si>
  <si>
    <t>Control owner</t>
  </si>
  <si>
    <t>Why</t>
  </si>
  <si>
    <t>Set Yes, No or TBC after contract and project review.</t>
  </si>
  <si>
    <t>Do not leave Critical items at TBC when mobilising.</t>
  </si>
  <si>
    <t>Executed contract or controlled LOI</t>
  </si>
  <si>
    <t>No work beyond authorised scope/value.</t>
  </si>
  <si>
    <t>Record progress of included items.</t>
  </si>
  <si>
    <t>Do not use Complete unless approved evidence is filed.</t>
  </si>
  <si>
    <t>Document owner</t>
  </si>
  <si>
    <t>Tender-to-contract reconciliation</t>
  </si>
  <si>
    <t>No lost qualification or silent scope movement.</t>
  </si>
  <si>
    <t>Use Critical for controls whose absence creates immediate entitlement, cash or commitment exposure.</t>
  </si>
  <si>
    <t>Do not downgrade to hide overdue work.</t>
  </si>
  <si>
    <t>Opening CVR and cashflow approved</t>
  </si>
  <si>
    <t>Margin and funding baseline agreed.</t>
  </si>
  <si>
    <t>Commercial Manager / Finance</t>
  </si>
  <si>
    <t>Do not use arbitrary dates disconnected from programme.</t>
  </si>
  <si>
    <t>Risk and entitlement registers live</t>
  </si>
  <si>
    <t>Exposure and recovery actions allocated.</t>
  </si>
  <si>
    <t>Enter controlled CDE path, SharePoint link or document number.</t>
  </si>
  <si>
    <t>Do not rely on personal inboxes or local drives.</t>
  </si>
  <si>
    <t>Payment and notice calendars live</t>
  </si>
  <si>
    <t>No missed statutory or contractual deadlines.</t>
  </si>
  <si>
    <t>Record exclusion rationale, missing inputs, decision required and next action.</t>
  </si>
  <si>
    <t>Do not write “N/A” without a reason.</t>
  </si>
  <si>
    <t>Procurement and long-lead schedules aligned</t>
  </si>
  <si>
    <t>Packages can meet programme dates.</t>
  </si>
  <si>
    <t>Planner / QS</t>
  </si>
  <si>
    <t>Shows whether the item came from the supplied registers or was added as an expanded recommendation.</t>
  </si>
  <si>
    <t>Do not treat source status as proof of applicability.</t>
  </si>
  <si>
    <t>Critical orders executed</t>
  </si>
  <si>
    <t>No uninsured or unauthorised mobilisation.</t>
  </si>
  <si>
    <t>Scope and design interfaces allocated</t>
  </si>
  <si>
    <t>No package gaps or duplicated allowances.</t>
  </si>
  <si>
    <t>Design Manager / QS</t>
  </si>
  <si>
    <t>Commercial handover complete</t>
  </si>
  <si>
    <t>Delivery team understands the priced position.</t>
  </si>
  <si>
    <t>Primary audience</t>
  </si>
  <si>
    <t>Purpose</t>
  </si>
  <si>
    <t>Typical content</t>
  </si>
  <si>
    <t>Board, client, funder or executive approval</t>
  </si>
  <si>
    <t>Material financial exposure, approvals and external governance.</t>
  </si>
  <si>
    <t>Contract, cost reports, risk, cash, major awards, security.</t>
  </si>
  <si>
    <t>H&amp;S</t>
  </si>
  <si>
    <t>Commercial manager, monitoring surveyor, project leadership</t>
  </si>
  <si>
    <t>Detailed review evidence supporting value, risk and entitlement.</t>
  </si>
  <si>
    <t>Cost plans, tender analysis, scope comparison, change and forecasts.</t>
  </si>
  <si>
    <t>Meridian project and support teams</t>
  </si>
  <si>
    <t>Internal control, audit trail and day-to-day administration.</t>
  </si>
  <si>
    <t>Trackers, calendars, templates, filing and authority controls.</t>
  </si>
  <si>
    <t>Civils Manager</t>
  </si>
  <si>
    <t>Environmental Lead</t>
  </si>
  <si>
    <t>Sustainability Lead</t>
  </si>
  <si>
    <t>BIM Manager</t>
  </si>
  <si>
    <t>PCC</t>
  </si>
  <si>
    <t>CA</t>
  </si>
  <si>
    <t>Mapped to your four-person team (Samar / Javeria / Madiha), with CM approving all.</t>
  </si>
  <si>
    <t>CM</t>
  </si>
  <si>
    <t>Documents</t>
  </si>
  <si>
    <t>Stage 1 - Bid &amp; Tender</t>
  </si>
  <si>
    <t>Stage 2 - Contract Award</t>
  </si>
  <si>
    <t>Stage 3 - Pre-Construction</t>
  </si>
  <si>
    <t>Stages vs folders</t>
  </si>
  <si>
    <t>Folder = where a document lives for its whole life (fixed). Stage = which phase it must be cleared by (a filter). They're independent, so nothing gets renamed as it moves between Stages.</t>
  </si>
  <si>
    <t>Stage / Stage</t>
  </si>
  <si>
    <t>Contract Approval / DeleStaged Authority Sign-Off</t>
  </si>
  <si>
    <t>Cost Check at Design Stage</t>
  </si>
  <si>
    <t>Each design Stage</t>
  </si>
  <si>
    <t>PROJ-MCR-CM-DCC-0002_CostCheckAtDesignStage</t>
  </si>
  <si>
    <t>Award Approval / DeleStaged Authority Record</t>
  </si>
  <si>
    <t>0.0 › 0.30 DeleStaged Authority &amp; Governance</t>
  </si>
  <si>
    <t>Pre-start Stage</t>
  </si>
  <si>
    <t>DeleStaged Authority &amp; Governance</t>
  </si>
  <si>
    <t>Stage</t>
  </si>
  <si>
    <t>Stage 1 - Bid</t>
  </si>
  <si>
    <t>Stage 2 - Award</t>
  </si>
  <si>
    <t>Stage 3 - Pre-Con</t>
  </si>
  <si>
    <t>At each Stage</t>
  </si>
  <si>
    <t>At each design Stage</t>
  </si>
  <si>
    <t>Monthly / key award Stages</t>
  </si>
  <si>
    <t>At each approval Stage</t>
  </si>
  <si>
    <t>Monthly / stage Stage</t>
  </si>
  <si>
    <t>0.30 DeleStaged Authority &amp; Governance</t>
  </si>
  <si>
    <t>Captures approval route, fees, inspections, Stageway obligations and design implications.</t>
  </si>
  <si>
    <t>Stage review confirming contract, budget, procurement, orders, cash, risk and controls are ready.</t>
  </si>
  <si>
    <t>Pre-start minimum Stage</t>
  </si>
  <si>
    <t>Link to the actual contract, procurement or mobilisation Stage.</t>
  </si>
  <si>
    <t>DOCUMENTS BY WORKSTREAM AND STAGE</t>
  </si>
  <si>
    <t>The 175 retained items in your pre-construction commercial pack, mapped into the purpose-built folder structure. The 55 documents marked as not required were removed from the stage checklists and Master Register.</t>
  </si>
  <si>
    <t>Stage 1 / 2 / 3 — updated phase checklists (Bid, Award, Pre-Con). / Master Register — all 175 retained items with folder columns (T–Y). / Pre-Con Folder Structure and Folder Coverage — live counts by folder. / Dashboard — live totals and workstream analysis.</t>
  </si>
  <si>
    <t>Confirm whether the retained Project Bank Account / Escrow Requirements item belongs in folder 6.30; the struck tax, CIS and credit-risk documents have been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</si>
</sst>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5" x14ac:knownFonts="1">
    <font>
      <sz val="11"/>
      <name val="Calibri"/>
      <charset val="1"/>
    </font>
    <font>
      <b/>
      <sz val="14"/>
      <color rgb="FF1F3864"/>
      <name val="Calibri"/>
      <charset val="1"/>
    </font>
    <font>
      <b/>
      <sz val="11"/>
      <name val="Calibri"/>
      <charset val="1"/>
    </font>
    <font>
      <i/>
      <sz val="11"/>
      <color rgb="FF595959"/>
      <name val="Calibri"/>
      <charset val="1"/>
    </font>
    <font>
      <b/>
      <sz val="11"/>
      <color rgb="FFFFFFFF"/>
      <name val="Calibri"/>
      <charset val="1"/>
    </font>
    <font>
      <b/>
      <sz val="16"/>
      <color rgb="FFFFFFFF"/>
      <name val="Calibri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8"/>
      <color rgb="FFFFFFFF"/>
      <name val="Calibri"/>
      <charset val="1"/>
    </font>
    <font>
      <i/>
      <sz val="11"/>
      <color rgb="FF34495E"/>
      <name val="Calibri"/>
      <charset val="1"/>
    </font>
    <font>
      <b/>
      <sz val="11"/>
      <color rgb="FF1F2937"/>
      <name val="Calibri"/>
      <charset val="1"/>
    </font>
    <font>
      <b/>
      <sz val="14"/>
      <color rgb="FF1F4E78"/>
      <name val="Calibri"/>
      <charset val="1"/>
    </font>
    <font>
      <b/>
      <sz val="12"/>
      <color rgb="FFFFFFFF"/>
      <name val="Calibri"/>
      <charset val="1"/>
    </font>
    <font>
      <strike/>
      <sz val="11"/>
      <name val="Calibri"/>
      <family val="2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4495E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2F0D9"/>
      </patternFill>
    </fill>
    <fill>
      <patternFill patternType="solid">
        <fgColor rgb="FFD9E1F2"/>
        <bgColor rgb="FFD7DEE5"/>
      </patternFill>
    </fill>
    <fill>
      <patternFill patternType="solid">
        <fgColor rgb="FF1F4E78"/>
        <bgColor rgb="FF34495E"/>
      </patternFill>
    </fill>
    <fill>
      <patternFill patternType="solid">
        <fgColor rgb="FF44546A"/>
        <bgColor rgb="FF34495E"/>
      </patternFill>
    </fill>
    <fill>
      <patternFill patternType="solid">
        <fgColor rgb="FFEAF2F8"/>
        <bgColor rgb="FFF3F6F9"/>
      </patternFill>
    </fill>
    <fill>
      <patternFill patternType="solid">
        <fgColor rgb="FFF3F6F9"/>
        <bgColor rgb="FFEAF2F8"/>
      </patternFill>
    </fill>
    <fill>
      <patternFill patternType="solid">
        <fgColor rgb="FFFFFFFF"/>
        <bgColor rgb="FFF3F6F9"/>
      </patternFill>
    </fill>
    <fill>
      <patternFill patternType="solid">
        <fgColor rgb="FF0F6B78"/>
        <bgColor rgb="FF008080"/>
      </patternFill>
    </fill>
    <fill>
      <patternFill patternType="solid">
        <fgColor rgb="FF1F4E78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3" fillId="0" borderId="0" xfId="0" applyFont="1"/>
    <xf numFmtId="0" fontId="4" fillId="7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5" borderId="2" xfId="0" applyFont="1" applyFill="1" applyBorder="1"/>
    <xf numFmtId="0" fontId="0" fillId="5" borderId="2" xfId="0" applyFill="1" applyBorder="1"/>
    <xf numFmtId="0" fontId="4" fillId="2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0" fillId="9" borderId="2" xfId="0" applyFont="1" applyFill="1" applyBorder="1"/>
    <xf numFmtId="0" fontId="11" fillId="10" borderId="2" xfId="0" applyFont="1" applyFill="1" applyBorder="1" applyAlignment="1">
      <alignment horizontal="center"/>
    </xf>
    <xf numFmtId="9" fontId="11" fillId="10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0" fillId="13" borderId="3" xfId="0" applyFill="1" applyBorder="1" applyAlignment="1">
      <alignment vertical="center" wrapText="1"/>
    </xf>
    <xf numFmtId="3" fontId="0" fillId="13" borderId="3" xfId="0" applyNumberFormat="1" applyFill="1" applyBorder="1" applyAlignment="1">
      <alignment horizontal="center" vertical="center"/>
    </xf>
    <xf numFmtId="3" fontId="2" fillId="13" borderId="3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3" fillId="0" borderId="0" xfId="0" applyFont="1"/>
    <xf numFmtId="0" fontId="13" fillId="14" borderId="0" xfId="0" applyFont="1" applyFill="1"/>
    <xf numFmtId="0" fontId="3" fillId="0" borderId="0" xfId="0" applyFont="1" applyAlignment="1">
      <alignment vertical="top" wrapText="1"/>
    </xf>
    <xf numFmtId="0" fontId="5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12" fillId="12" borderId="0" xfId="0" applyFont="1" applyFill="1"/>
    <xf numFmtId="0" fontId="0" fillId="14" borderId="2" xfId="0" applyFill="1" applyBorder="1" applyAlignment="1">
      <alignment vertical="center" wrapText="1"/>
    </xf>
    <xf numFmtId="0" fontId="14" fillId="14" borderId="2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b/>
        <color rgb="FF9C0006"/>
      </font>
      <fill>
        <patternFill>
          <bgColor rgb="FFF4CCCC"/>
        </patternFill>
      </fill>
    </dxf>
    <dxf>
      <font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6500"/>
      </font>
      <fill>
        <patternFill>
          <bgColor rgb="FFFFF2CC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color rgb="FF666666"/>
      </font>
      <fill>
        <patternFill>
          <bgColor rgb="FFE7E6E6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9C0006"/>
      <rgbColor rgb="FF006100"/>
      <rgbColor rgb="FF000080"/>
      <rgbColor rgb="FF9C6500"/>
      <rgbColor rgb="FF800080"/>
      <rgbColor rgb="FF0F6B78"/>
      <rgbColor rgb="FFBFBFBF"/>
      <rgbColor rgb="FF595959"/>
      <rgbColor rgb="FF9999FF"/>
      <rgbColor rgb="FF993366"/>
      <rgbColor rgb="FFFFF2CC"/>
      <rgbColor rgb="FFD9EAF7"/>
      <rgbColor rgb="FF660066"/>
      <rgbColor rgb="FFFF8080"/>
      <rgbColor rgb="FF1F4E78"/>
      <rgbColor rgb="FFD7DEE5"/>
      <rgbColor rgb="FF000080"/>
      <rgbColor rgb="FFFF00FF"/>
      <rgbColor rgb="FFF3F6F9"/>
      <rgbColor rgb="FF00FFFF"/>
      <rgbColor rgb="FF800080"/>
      <rgbColor rgb="FF800000"/>
      <rgbColor rgb="FF008080"/>
      <rgbColor rgb="FF0000FF"/>
      <rgbColor rgb="FF00CCFF"/>
      <rgbColor rgb="FFEAF2F8"/>
      <rgbColor rgb="FFE2F0D9"/>
      <rgbColor rgb="FFFCE4D6"/>
      <rgbColor rgb="FFAAB7C4"/>
      <rgbColor rgb="FFE7E6E6"/>
      <rgbColor rgb="FFD9E1F2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44546A"/>
      <rgbColor rgb="FF993300"/>
      <rgbColor rgb="FF993366"/>
      <rgbColor rgb="FF34495E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Documents by Workstream and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Dashboard!$B$28</c:f>
              <c:strCache>
                <c:ptCount val="1"/>
                <c:pt idx="0">
                  <c:v>Stage 1 - Bid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Dashboard!$A$29:$A$43</c:f>
              <c:strCache>
                <c:ptCount val="15"/>
                <c:pt idx="0">
                  <c:v>Tender &amp; Bid Baseline</c:v>
                </c:pt>
                <c:pt idx="1">
                  <c:v>Contract Formation</c:v>
                </c:pt>
                <c:pt idx="2">
                  <c:v>Scope &amp; Design Cost Control</c:v>
                </c:pt>
                <c:pt idx="3">
                  <c:v>Cost Planning &amp; Budget</c:v>
                </c:pt>
                <c:pt idx="4">
                  <c:v>Procurement Strategy</c:v>
                </c:pt>
                <c:pt idx="5">
                  <c:v>Tendering &amp; Package Award</c:v>
                </c:pt>
                <c:pt idx="6">
                  <c:v>Subcontract Formation</c:v>
                </c:pt>
                <c:pt idx="7">
                  <c:v>Cashflow, Payment &amp; Tax</c:v>
                </c:pt>
                <c:pt idx="8">
                  <c:v>Risk, Opportunity &amp; Governance</c:v>
                </c:pt>
                <c:pt idx="9">
                  <c:v>Change, Claims &amp; Entitlement</c:v>
                </c:pt>
                <c:pt idx="10">
                  <c:v>Programme &amp; Delay Commercials</c:v>
                </c:pt>
                <c:pt idx="11">
                  <c:v>Insurance, Security &amp; Warranties</c:v>
                </c:pt>
                <c:pt idx="12">
                  <c:v>Property, Statutory &amp; Third Parties</c:v>
                </c:pt>
                <c:pt idx="13">
                  <c:v>Reporting &amp; Project Controls</c:v>
                </c:pt>
                <c:pt idx="14">
                  <c:v>Mobilisation &amp; Delivery Handover</c:v>
                </c:pt>
              </c:strCache>
            </c:strRef>
          </c:cat>
          <c:val>
            <c:numRef>
              <c:f>Dashboard!$B$29:$B$43</c:f>
              <c:numCache>
                <c:formatCode>#,##0</c:formatCode>
                <c:ptCount val="15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4-4978-86C4-FE2C2A48896A}"/>
            </c:ext>
          </c:extLst>
        </c:ser>
        <c:ser>
          <c:idx val="1"/>
          <c:order val="1"/>
          <c:tx>
            <c:strRef>
              <c:f>Dashboard!$C$28</c:f>
              <c:strCache>
                <c:ptCount val="1"/>
                <c:pt idx="0">
                  <c:v>Stage 2 - Award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Dashboard!$A$29:$A$43</c:f>
              <c:strCache>
                <c:ptCount val="15"/>
                <c:pt idx="0">
                  <c:v>Tender &amp; Bid Baseline</c:v>
                </c:pt>
                <c:pt idx="1">
                  <c:v>Contract Formation</c:v>
                </c:pt>
                <c:pt idx="2">
                  <c:v>Scope &amp; Design Cost Control</c:v>
                </c:pt>
                <c:pt idx="3">
                  <c:v>Cost Planning &amp; Budget</c:v>
                </c:pt>
                <c:pt idx="4">
                  <c:v>Procurement Strategy</c:v>
                </c:pt>
                <c:pt idx="5">
                  <c:v>Tendering &amp; Package Award</c:v>
                </c:pt>
                <c:pt idx="6">
                  <c:v>Subcontract Formation</c:v>
                </c:pt>
                <c:pt idx="7">
                  <c:v>Cashflow, Payment &amp; Tax</c:v>
                </c:pt>
                <c:pt idx="8">
                  <c:v>Risk, Opportunity &amp; Governance</c:v>
                </c:pt>
                <c:pt idx="9">
                  <c:v>Change, Claims &amp; Entitlement</c:v>
                </c:pt>
                <c:pt idx="10">
                  <c:v>Programme &amp; Delay Commercials</c:v>
                </c:pt>
                <c:pt idx="11">
                  <c:v>Insurance, Security &amp; Warranties</c:v>
                </c:pt>
                <c:pt idx="12">
                  <c:v>Property, Statutory &amp; Third Parties</c:v>
                </c:pt>
                <c:pt idx="13">
                  <c:v>Reporting &amp; Project Controls</c:v>
                </c:pt>
                <c:pt idx="14">
                  <c:v>Mobilisation &amp; Delivery Handover</c:v>
                </c:pt>
              </c:strCache>
            </c:strRef>
          </c:cat>
          <c:val>
            <c:numRef>
              <c:f>Dashboard!$C$29:$C$43</c:f>
              <c:numCache>
                <c:formatCode>#,##0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C4-4978-86C4-FE2C2A48896A}"/>
            </c:ext>
          </c:extLst>
        </c:ser>
        <c:ser>
          <c:idx val="2"/>
          <c:order val="2"/>
          <c:tx>
            <c:strRef>
              <c:f>Dashboard!$D$28</c:f>
              <c:strCache>
                <c:ptCount val="1"/>
                <c:pt idx="0">
                  <c:v>Stage 3 - Pre-Con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Dashboard!$A$29:$A$43</c:f>
              <c:strCache>
                <c:ptCount val="15"/>
                <c:pt idx="0">
                  <c:v>Tender &amp; Bid Baseline</c:v>
                </c:pt>
                <c:pt idx="1">
                  <c:v>Contract Formation</c:v>
                </c:pt>
                <c:pt idx="2">
                  <c:v>Scope &amp; Design Cost Control</c:v>
                </c:pt>
                <c:pt idx="3">
                  <c:v>Cost Planning &amp; Budget</c:v>
                </c:pt>
                <c:pt idx="4">
                  <c:v>Procurement Strategy</c:v>
                </c:pt>
                <c:pt idx="5">
                  <c:v>Tendering &amp; Package Award</c:v>
                </c:pt>
                <c:pt idx="6">
                  <c:v>Subcontract Formation</c:v>
                </c:pt>
                <c:pt idx="7">
                  <c:v>Cashflow, Payment &amp; Tax</c:v>
                </c:pt>
                <c:pt idx="8">
                  <c:v>Risk, Opportunity &amp; Governance</c:v>
                </c:pt>
                <c:pt idx="9">
                  <c:v>Change, Claims &amp; Entitlement</c:v>
                </c:pt>
                <c:pt idx="10">
                  <c:v>Programme &amp; Delay Commercials</c:v>
                </c:pt>
                <c:pt idx="11">
                  <c:v>Insurance, Security &amp; Warranties</c:v>
                </c:pt>
                <c:pt idx="12">
                  <c:v>Property, Statutory &amp; Third Parties</c:v>
                </c:pt>
                <c:pt idx="13">
                  <c:v>Reporting &amp; Project Controls</c:v>
                </c:pt>
                <c:pt idx="14">
                  <c:v>Mobilisation &amp; Delivery Handover</c:v>
                </c:pt>
              </c:strCache>
            </c:strRef>
          </c:cat>
          <c:val>
            <c:numRef>
              <c:f>Dashboard!$D$29:$D$43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13</c:v>
                </c:pt>
                <c:pt idx="3">
                  <c:v>18</c:v>
                </c:pt>
                <c:pt idx="4">
                  <c:v>15</c:v>
                </c:pt>
                <c:pt idx="5">
                  <c:v>13</c:v>
                </c:pt>
                <c:pt idx="6">
                  <c:v>10</c:v>
                </c:pt>
                <c:pt idx="7">
                  <c:v>5</c:v>
                </c:pt>
                <c:pt idx="8">
                  <c:v>9</c:v>
                </c:pt>
                <c:pt idx="9">
                  <c:v>9</c:v>
                </c:pt>
                <c:pt idx="10">
                  <c:v>6</c:v>
                </c:pt>
                <c:pt idx="11">
                  <c:v>9</c:v>
                </c:pt>
                <c:pt idx="12">
                  <c:v>11</c:v>
                </c:pt>
                <c:pt idx="13">
                  <c:v>13</c:v>
                </c:pt>
                <c:pt idx="1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C4-4978-86C4-FE2C2A488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4952304"/>
        <c:axId val="1972723600"/>
      </c:barChart>
      <c:catAx>
        <c:axId val="1994952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723600"/>
        <c:crosses val="autoZero"/>
        <c:auto val="1"/>
        <c:lblAlgn val="ctr"/>
        <c:lblOffset val="100"/>
        <c:noMultiLvlLbl val="0"/>
      </c:catAx>
      <c:valAx>
        <c:axId val="197272360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95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15007</xdr:colOff>
      <xdr:row>28</xdr:row>
      <xdr:rowOff>125846</xdr:rowOff>
    </xdr:from>
    <xdr:to>
      <xdr:col>13</xdr:col>
      <xdr:colOff>545810</xdr:colOff>
      <xdr:row>43</xdr:row>
      <xdr:rowOff>28863</xdr:rowOff>
    </xdr:to>
    <xdr:graphicFrame macro="">
      <xdr:nvGraphicFramePr>
        <xdr:cNvPr id="2" name="Documents by Workstream and Gate">
          <a:extLst>
            <a:ext uri="{FF2B5EF4-FFF2-40B4-BE49-F238E27FC236}">
              <a16:creationId xmlns:a16="http://schemas.microsoft.com/office/drawing/2014/main" id="{68BFB9B7-0503-B17E-33E1-686F57FD3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zoomScaleNormal="100" workbookViewId="0">
      <selection activeCell="B3" sqref="B3"/>
    </sheetView>
  </sheetViews>
  <sheetFormatPr defaultColWidth="8.6640625" defaultRowHeight="14.25" x14ac:dyDescent="0.45"/>
  <cols>
    <col min="1" max="1" width="20" customWidth="1"/>
    <col min="2" max="2" width="98" customWidth="1"/>
  </cols>
  <sheetData>
    <row r="1" spans="1:2" ht="18" x14ac:dyDescent="0.55000000000000004">
      <c r="A1" s="1" t="s">
        <v>0</v>
      </c>
    </row>
    <row r="2" spans="1:2" ht="57.75" customHeight="1" x14ac:dyDescent="0.45">
      <c r="A2" s="11" t="s">
        <v>1</v>
      </c>
      <c r="B2" s="12" t="s">
        <v>1357</v>
      </c>
    </row>
    <row r="3" spans="1:2" ht="57.75" customHeight="1" x14ac:dyDescent="0.45">
      <c r="A3" s="11" t="s">
        <v>2</v>
      </c>
      <c r="B3" s="12" t="s">
        <v>3</v>
      </c>
    </row>
    <row r="4" spans="1:2" ht="57.75" customHeight="1" x14ac:dyDescent="0.45">
      <c r="A4" s="11" t="s">
        <v>4</v>
      </c>
      <c r="B4" s="12" t="s">
        <v>1358</v>
      </c>
    </row>
    <row r="5" spans="1:2" ht="57.75" customHeight="1" x14ac:dyDescent="0.45">
      <c r="A5" s="11" t="s">
        <v>5</v>
      </c>
      <c r="B5" s="12" t="s">
        <v>6</v>
      </c>
    </row>
    <row r="6" spans="1:2" ht="57.75" customHeight="1" x14ac:dyDescent="0.45">
      <c r="A6" s="11" t="s">
        <v>1331</v>
      </c>
      <c r="B6" s="12" t="s">
        <v>1332</v>
      </c>
    </row>
    <row r="7" spans="1:2" ht="57.75" customHeight="1" x14ac:dyDescent="0.45">
      <c r="A7" s="11" t="s">
        <v>7</v>
      </c>
      <c r="B7" s="12" t="s">
        <v>1325</v>
      </c>
    </row>
    <row r="8" spans="1:2" ht="57.75" customHeight="1" x14ac:dyDescent="0.45">
      <c r="A8" s="11" t="s">
        <v>8</v>
      </c>
      <c r="B8" s="12" t="s">
        <v>1359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showGridLines="0" zoomScale="130" zoomScaleNormal="130" workbookViewId="0">
      <pane ySplit="5" topLeftCell="A6" activePane="bottomLeft" state="frozen"/>
      <selection pane="bottomLeft" activeCell="B24" sqref="B24"/>
    </sheetView>
  </sheetViews>
  <sheetFormatPr defaultColWidth="8.6640625" defaultRowHeight="14.25" x14ac:dyDescent="0.45"/>
  <cols>
    <col min="1" max="1" width="11" customWidth="1"/>
    <col min="2" max="2" width="42.46484375" customWidth="1"/>
    <col min="3" max="3" width="17" customWidth="1"/>
    <col min="4" max="4" width="26" customWidth="1"/>
    <col min="5" max="5" width="10" customWidth="1"/>
    <col min="6" max="6" width="20" customWidth="1"/>
    <col min="7" max="7" width="26" customWidth="1"/>
    <col min="8" max="8" width="9" customWidth="1"/>
    <col min="9" max="9" width="37.6640625" customWidth="1"/>
    <col min="10" max="10" width="14" customWidth="1"/>
  </cols>
  <sheetData>
    <row r="1" spans="1:10" ht="18" x14ac:dyDescent="0.55000000000000004">
      <c r="A1" s="1" t="s">
        <v>1328</v>
      </c>
    </row>
    <row r="2" spans="1:10" x14ac:dyDescent="0.45">
      <c r="A2" s="2" t="str">
        <f>COUNTA(A6:A16)&amp;" items  ·  "&amp;COUNTIF(E6:E16,"Critical")&amp;" Critical  ·  "&amp;COUNTIF(C6:C16,"Yes*")&amp;" go to client"</f>
        <v>11 items  ·  8 Critical  ·  4 go to client</v>
      </c>
    </row>
    <row r="3" spans="1:10" ht="43.5" customHeight="1" x14ac:dyDescent="0.45">
      <c r="A3" s="42" t="s">
        <v>9</v>
      </c>
      <c r="B3" s="42"/>
      <c r="C3" s="42"/>
      <c r="D3" s="42"/>
      <c r="E3" s="42"/>
      <c r="F3" s="42"/>
      <c r="G3" s="42"/>
      <c r="H3" s="42"/>
      <c r="I3" s="42"/>
      <c r="J3" s="42"/>
    </row>
    <row r="5" spans="1:10" s="17" customFormat="1" x14ac:dyDescent="0.45">
      <c r="A5" s="16" t="s">
        <v>10</v>
      </c>
      <c r="B5" s="16" t="s">
        <v>11</v>
      </c>
      <c r="C5" s="16" t="s">
        <v>12</v>
      </c>
      <c r="D5" s="16" t="s">
        <v>13</v>
      </c>
      <c r="E5" s="16" t="s">
        <v>14</v>
      </c>
      <c r="F5" s="16" t="s">
        <v>1333</v>
      </c>
      <c r="G5" s="16" t="s">
        <v>15</v>
      </c>
      <c r="H5" s="16" t="s">
        <v>16</v>
      </c>
      <c r="I5" s="16" t="s">
        <v>17</v>
      </c>
      <c r="J5" s="16" t="s">
        <v>18</v>
      </c>
    </row>
    <row r="6" spans="1:10" ht="28.5" x14ac:dyDescent="0.45">
      <c r="A6" s="47" t="s">
        <v>19</v>
      </c>
      <c r="B6" s="47" t="s">
        <v>20</v>
      </c>
      <c r="C6" s="12" t="s">
        <v>21</v>
      </c>
      <c r="D6" s="12" t="s">
        <v>22</v>
      </c>
      <c r="E6" s="14" t="s">
        <v>23</v>
      </c>
      <c r="F6" s="12" t="s">
        <v>24</v>
      </c>
      <c r="G6" s="12" t="s">
        <v>25</v>
      </c>
      <c r="H6" s="12" t="s">
        <v>26</v>
      </c>
      <c r="I6" s="12" t="s">
        <v>27</v>
      </c>
      <c r="J6" s="12" t="s">
        <v>905</v>
      </c>
    </row>
    <row r="7" spans="1:10" s="40" customFormat="1" ht="28.5" x14ac:dyDescent="0.45">
      <c r="A7" s="47" t="s">
        <v>28</v>
      </c>
      <c r="B7" s="47" t="s">
        <v>31</v>
      </c>
      <c r="C7" s="12" t="s">
        <v>21</v>
      </c>
      <c r="D7" s="12" t="s">
        <v>22</v>
      </c>
      <c r="E7" s="14" t="s">
        <v>23</v>
      </c>
      <c r="F7" s="12" t="s">
        <v>32</v>
      </c>
      <c r="G7" s="12" t="s">
        <v>25</v>
      </c>
      <c r="H7" s="12" t="s">
        <v>26</v>
      </c>
      <c r="I7" s="12" t="s">
        <v>33</v>
      </c>
      <c r="J7" s="12" t="s">
        <v>905</v>
      </c>
    </row>
    <row r="8" spans="1:10" s="40" customFormat="1" ht="28.5" x14ac:dyDescent="0.45">
      <c r="A8" s="47" t="s">
        <v>29</v>
      </c>
      <c r="B8" s="47" t="s">
        <v>35</v>
      </c>
      <c r="C8" s="12" t="s">
        <v>21</v>
      </c>
      <c r="D8" s="12" t="s">
        <v>22</v>
      </c>
      <c r="E8" s="14" t="s">
        <v>23</v>
      </c>
      <c r="F8" s="12" t="s">
        <v>32</v>
      </c>
      <c r="G8" s="12" t="s">
        <v>25</v>
      </c>
      <c r="H8" s="12" t="s">
        <v>26</v>
      </c>
      <c r="I8" s="12" t="s">
        <v>36</v>
      </c>
      <c r="J8" s="12" t="s">
        <v>905</v>
      </c>
    </row>
    <row r="9" spans="1:10" ht="28.5" x14ac:dyDescent="0.45">
      <c r="A9" s="47" t="s">
        <v>56</v>
      </c>
      <c r="B9" s="47" t="s">
        <v>38</v>
      </c>
      <c r="C9" s="15" t="s">
        <v>39</v>
      </c>
      <c r="D9" s="12" t="s">
        <v>22</v>
      </c>
      <c r="E9" s="14" t="s">
        <v>23</v>
      </c>
      <c r="F9" s="12" t="s">
        <v>40</v>
      </c>
      <c r="G9" s="12" t="s">
        <v>41</v>
      </c>
      <c r="H9" s="12" t="s">
        <v>42</v>
      </c>
      <c r="I9" s="12" t="s">
        <v>43</v>
      </c>
      <c r="J9" s="12" t="s">
        <v>905</v>
      </c>
    </row>
    <row r="10" spans="1:10" ht="28.5" x14ac:dyDescent="0.45">
      <c r="A10" s="47" t="s">
        <v>60</v>
      </c>
      <c r="B10" s="47" t="s">
        <v>45</v>
      </c>
      <c r="C10" s="15" t="s">
        <v>39</v>
      </c>
      <c r="D10" s="12" t="s">
        <v>22</v>
      </c>
      <c r="E10" s="14" t="s">
        <v>23</v>
      </c>
      <c r="F10" s="12" t="s">
        <v>40</v>
      </c>
      <c r="G10" s="12" t="s">
        <v>46</v>
      </c>
      <c r="H10" s="12" t="s">
        <v>47</v>
      </c>
      <c r="I10" s="12" t="s">
        <v>48</v>
      </c>
      <c r="J10" s="12" t="s">
        <v>905</v>
      </c>
    </row>
    <row r="11" spans="1:10" ht="28.5" x14ac:dyDescent="0.45">
      <c r="A11" s="47" t="s">
        <v>37</v>
      </c>
      <c r="B11" s="47" t="s">
        <v>50</v>
      </c>
      <c r="C11" s="15" t="s">
        <v>39</v>
      </c>
      <c r="D11" s="12" t="s">
        <v>22</v>
      </c>
      <c r="E11" s="14" t="s">
        <v>23</v>
      </c>
      <c r="F11" s="12" t="s">
        <v>40</v>
      </c>
      <c r="G11" s="12" t="s">
        <v>46</v>
      </c>
      <c r="H11" s="12" t="s">
        <v>47</v>
      </c>
      <c r="I11" s="12" t="s">
        <v>51</v>
      </c>
      <c r="J11" s="12" t="s">
        <v>905</v>
      </c>
    </row>
    <row r="12" spans="1:10" ht="28.5" x14ac:dyDescent="0.45">
      <c r="A12" s="47" t="s">
        <v>44</v>
      </c>
      <c r="B12" s="47" t="s">
        <v>52</v>
      </c>
      <c r="C12" s="12" t="s">
        <v>21</v>
      </c>
      <c r="D12" s="12" t="s">
        <v>22</v>
      </c>
      <c r="E12" s="14" t="s">
        <v>23</v>
      </c>
      <c r="F12" s="12" t="s">
        <v>40</v>
      </c>
      <c r="G12" s="12" t="s">
        <v>46</v>
      </c>
      <c r="H12" s="12" t="s">
        <v>47</v>
      </c>
      <c r="I12" s="12" t="s">
        <v>53</v>
      </c>
      <c r="J12" s="12" t="s">
        <v>905</v>
      </c>
    </row>
    <row r="13" spans="1:10" ht="28.5" x14ac:dyDescent="0.45">
      <c r="A13" s="47" t="s">
        <v>49</v>
      </c>
      <c r="B13" s="47" t="s">
        <v>54</v>
      </c>
      <c r="C13" s="12" t="s">
        <v>21</v>
      </c>
      <c r="D13" s="12" t="s">
        <v>22</v>
      </c>
      <c r="E13" s="14" t="s">
        <v>23</v>
      </c>
      <c r="F13" s="12" t="s">
        <v>40</v>
      </c>
      <c r="G13" s="12" t="s">
        <v>46</v>
      </c>
      <c r="H13" s="12" t="s">
        <v>47</v>
      </c>
      <c r="I13" s="12" t="s">
        <v>55</v>
      </c>
      <c r="J13" s="12" t="s">
        <v>905</v>
      </c>
    </row>
    <row r="14" spans="1:10" ht="28.5" x14ac:dyDescent="0.45">
      <c r="A14" s="47" t="s">
        <v>30</v>
      </c>
      <c r="B14" s="47" t="s">
        <v>57</v>
      </c>
      <c r="C14" s="12" t="s">
        <v>21</v>
      </c>
      <c r="D14" s="12" t="s">
        <v>22</v>
      </c>
      <c r="E14" s="12" t="s">
        <v>58</v>
      </c>
      <c r="F14" s="12" t="s">
        <v>32</v>
      </c>
      <c r="G14" s="12" t="s">
        <v>25</v>
      </c>
      <c r="H14" s="12" t="s">
        <v>26</v>
      </c>
      <c r="I14" s="12" t="s">
        <v>59</v>
      </c>
      <c r="J14" s="12" t="s">
        <v>905</v>
      </c>
    </row>
    <row r="15" spans="1:10" ht="28.5" x14ac:dyDescent="0.45">
      <c r="A15" s="47" t="s">
        <v>34</v>
      </c>
      <c r="B15" s="47" t="s">
        <v>61</v>
      </c>
      <c r="C15" s="12" t="s">
        <v>21</v>
      </c>
      <c r="D15" s="12" t="s">
        <v>22</v>
      </c>
      <c r="E15" s="12" t="s">
        <v>58</v>
      </c>
      <c r="F15" s="12" t="s">
        <v>32</v>
      </c>
      <c r="G15" s="12" t="s">
        <v>25</v>
      </c>
      <c r="H15" s="12" t="s">
        <v>26</v>
      </c>
      <c r="I15" s="12" t="s">
        <v>62</v>
      </c>
      <c r="J15" s="12" t="s">
        <v>905</v>
      </c>
    </row>
    <row r="16" spans="1:10" ht="28.5" x14ac:dyDescent="0.45">
      <c r="A16" s="47" t="s">
        <v>63</v>
      </c>
      <c r="B16" s="47" t="s">
        <v>64</v>
      </c>
      <c r="C16" s="15" t="s">
        <v>39</v>
      </c>
      <c r="D16" s="12" t="s">
        <v>22</v>
      </c>
      <c r="E16" s="12" t="s">
        <v>58</v>
      </c>
      <c r="F16" s="12" t="s">
        <v>40</v>
      </c>
      <c r="G16" s="12" t="s">
        <v>46</v>
      </c>
      <c r="H16" s="12" t="s">
        <v>47</v>
      </c>
      <c r="I16" s="12" t="s">
        <v>65</v>
      </c>
      <c r="J16" s="12" t="s">
        <v>905</v>
      </c>
    </row>
    <row r="18" spans="1:10" s="40" customFormat="1" x14ac:dyDescent="0.45">
      <c r="A18"/>
      <c r="B18"/>
      <c r="C18"/>
      <c r="D18"/>
      <c r="E18"/>
      <c r="F18"/>
      <c r="G18"/>
      <c r="H18"/>
      <c r="I18"/>
      <c r="J18"/>
    </row>
    <row r="19" spans="1:10" s="40" customFormat="1" x14ac:dyDescent="0.45">
      <c r="A19"/>
      <c r="B19"/>
      <c r="C19"/>
      <c r="D19"/>
      <c r="E19"/>
      <c r="F19"/>
      <c r="G19"/>
      <c r="H19"/>
      <c r="I19"/>
      <c r="J19"/>
    </row>
    <row r="21" spans="1:10" s="40" customFormat="1" x14ac:dyDescent="0.45">
      <c r="A21"/>
      <c r="B21"/>
      <c r="C21"/>
      <c r="D21"/>
      <c r="E21"/>
      <c r="F21"/>
      <c r="G21"/>
      <c r="H21"/>
      <c r="I21"/>
      <c r="J21"/>
    </row>
    <row r="22" spans="1:10" s="40" customFormat="1" x14ac:dyDescent="0.45">
      <c r="A22"/>
      <c r="B22"/>
      <c r="C22"/>
      <c r="D22"/>
      <c r="E22"/>
      <c r="F22"/>
      <c r="G22"/>
      <c r="H22"/>
      <c r="I22"/>
      <c r="J22"/>
    </row>
  </sheetData>
  <mergeCells count="1"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showGridLines="0" tabSelected="1" zoomScaleNormal="100" workbookViewId="0">
      <pane ySplit="5" topLeftCell="A6" activePane="bottomLeft" state="frozen"/>
      <selection pane="bottomLeft" activeCell="C11" sqref="C11"/>
    </sheetView>
  </sheetViews>
  <sheetFormatPr defaultColWidth="8.6640625" defaultRowHeight="14.25" x14ac:dyDescent="0.45"/>
  <cols>
    <col min="1" max="1" width="11" customWidth="1"/>
    <col min="2" max="2" width="40" customWidth="1"/>
    <col min="3" max="3" width="26" customWidth="1"/>
    <col min="4" max="4" width="10" customWidth="1"/>
    <col min="5" max="5" width="20" customWidth="1"/>
    <col min="6" max="6" width="26" customWidth="1"/>
    <col min="7" max="7" width="9" customWidth="1"/>
    <col min="8" max="8" width="34" customWidth="1"/>
    <col min="9" max="9" width="14" customWidth="1"/>
  </cols>
  <sheetData>
    <row r="1" spans="1:9" ht="18" x14ac:dyDescent="0.55000000000000004">
      <c r="A1" s="1" t="s">
        <v>1329</v>
      </c>
    </row>
    <row r="2" spans="1:9" x14ac:dyDescent="0.45">
      <c r="A2" s="2" t="str">
        <f>COUNTA(A6:A24)&amp;" items  ·  "&amp;COUNTIF(D6:D24,"Critical")&amp;" Critical"</f>
        <v>19 items  ·  14 Critical</v>
      </c>
    </row>
    <row r="3" spans="1:9" ht="43.5" customHeight="1" x14ac:dyDescent="0.45">
      <c r="A3" s="42" t="s">
        <v>66</v>
      </c>
      <c r="B3" s="42"/>
      <c r="C3" s="42"/>
      <c r="D3" s="42"/>
      <c r="E3" s="42"/>
      <c r="F3" s="42"/>
      <c r="G3" s="42"/>
      <c r="H3" s="42"/>
      <c r="I3" s="42"/>
    </row>
    <row r="5" spans="1:9" s="17" customFormat="1" x14ac:dyDescent="0.45">
      <c r="A5" s="16" t="s">
        <v>10</v>
      </c>
      <c r="B5" s="16" t="s">
        <v>11</v>
      </c>
      <c r="C5" s="16" t="s">
        <v>13</v>
      </c>
      <c r="D5" s="16" t="s">
        <v>14</v>
      </c>
      <c r="E5" s="16" t="s">
        <v>1333</v>
      </c>
      <c r="F5" s="16" t="s">
        <v>15</v>
      </c>
      <c r="G5" s="16" t="s">
        <v>16</v>
      </c>
      <c r="H5" s="16" t="s">
        <v>17</v>
      </c>
      <c r="I5" s="16" t="s">
        <v>18</v>
      </c>
    </row>
    <row r="6" spans="1:9" ht="28.5" x14ac:dyDescent="0.45">
      <c r="A6" s="47" t="s">
        <v>67</v>
      </c>
      <c r="B6" s="47" t="s">
        <v>68</v>
      </c>
      <c r="C6" s="12" t="s">
        <v>69</v>
      </c>
      <c r="D6" s="14" t="s">
        <v>23</v>
      </c>
      <c r="E6" s="12" t="s">
        <v>70</v>
      </c>
      <c r="F6" s="12" t="s">
        <v>71</v>
      </c>
      <c r="G6" s="12" t="s">
        <v>72</v>
      </c>
      <c r="H6" s="12" t="s">
        <v>73</v>
      </c>
      <c r="I6" s="12" t="s">
        <v>1326</v>
      </c>
    </row>
    <row r="7" spans="1:9" ht="28.5" x14ac:dyDescent="0.45">
      <c r="A7" s="47" t="s">
        <v>74</v>
      </c>
      <c r="B7" s="47" t="s">
        <v>75</v>
      </c>
      <c r="C7" s="12" t="s">
        <v>69</v>
      </c>
      <c r="D7" s="14" t="s">
        <v>23</v>
      </c>
      <c r="E7" s="12" t="s">
        <v>76</v>
      </c>
      <c r="F7" s="12" t="s">
        <v>77</v>
      </c>
      <c r="G7" s="12" t="s">
        <v>78</v>
      </c>
      <c r="H7" s="12" t="s">
        <v>79</v>
      </c>
      <c r="I7" s="12" t="s">
        <v>1326</v>
      </c>
    </row>
    <row r="8" spans="1:9" ht="28.5" x14ac:dyDescent="0.45">
      <c r="A8" s="47" t="s">
        <v>80</v>
      </c>
      <c r="B8" s="47" t="s">
        <v>81</v>
      </c>
      <c r="C8" s="12" t="s">
        <v>69</v>
      </c>
      <c r="D8" s="14" t="s">
        <v>23</v>
      </c>
      <c r="E8" s="12" t="s">
        <v>76</v>
      </c>
      <c r="F8" s="12" t="s">
        <v>77</v>
      </c>
      <c r="G8" s="12" t="s">
        <v>78</v>
      </c>
      <c r="H8" s="12" t="s">
        <v>82</v>
      </c>
      <c r="I8" s="12" t="s">
        <v>1326</v>
      </c>
    </row>
    <row r="9" spans="1:9" s="40" customFormat="1" ht="28.5" x14ac:dyDescent="0.45">
      <c r="A9" s="47" t="s">
        <v>83</v>
      </c>
      <c r="B9" s="47" t="s">
        <v>89</v>
      </c>
      <c r="C9" s="12" t="s">
        <v>69</v>
      </c>
      <c r="D9" s="14" t="s">
        <v>23</v>
      </c>
      <c r="E9" s="12" t="s">
        <v>70</v>
      </c>
      <c r="F9" s="12" t="s">
        <v>86</v>
      </c>
      <c r="G9" s="12" t="s">
        <v>87</v>
      </c>
      <c r="H9" s="12" t="s">
        <v>90</v>
      </c>
      <c r="I9" s="12" t="s">
        <v>1323</v>
      </c>
    </row>
    <row r="10" spans="1:9" s="40" customFormat="1" ht="28.5" x14ac:dyDescent="0.45">
      <c r="A10" s="47" t="s">
        <v>84</v>
      </c>
      <c r="B10" s="47" t="s">
        <v>92</v>
      </c>
      <c r="C10" s="12" t="s">
        <v>69</v>
      </c>
      <c r="D10" s="14" t="s">
        <v>23</v>
      </c>
      <c r="E10" s="12" t="s">
        <v>70</v>
      </c>
      <c r="F10" s="12" t="s">
        <v>86</v>
      </c>
      <c r="G10" s="12" t="s">
        <v>87</v>
      </c>
      <c r="H10" s="12" t="s">
        <v>93</v>
      </c>
      <c r="I10" s="12" t="s">
        <v>1323</v>
      </c>
    </row>
    <row r="11" spans="1:9" s="40" customFormat="1" ht="28.5" x14ac:dyDescent="0.45">
      <c r="A11" s="47" t="s">
        <v>85</v>
      </c>
      <c r="B11" s="47" t="s">
        <v>95</v>
      </c>
      <c r="C11" s="12" t="s">
        <v>69</v>
      </c>
      <c r="D11" s="14" t="s">
        <v>23</v>
      </c>
      <c r="E11" s="12" t="s">
        <v>76</v>
      </c>
      <c r="F11" s="12" t="s">
        <v>96</v>
      </c>
      <c r="G11" s="12" t="s">
        <v>97</v>
      </c>
      <c r="H11" s="12" t="s">
        <v>98</v>
      </c>
      <c r="I11" s="12" t="s">
        <v>905</v>
      </c>
    </row>
    <row r="12" spans="1:9" ht="28.5" x14ac:dyDescent="0.45">
      <c r="A12" s="47" t="s">
        <v>88</v>
      </c>
      <c r="B12" s="47" t="s">
        <v>100</v>
      </c>
      <c r="C12" s="12" t="s">
        <v>69</v>
      </c>
      <c r="D12" s="14" t="s">
        <v>23</v>
      </c>
      <c r="E12" s="12" t="s">
        <v>76</v>
      </c>
      <c r="F12" s="12" t="s">
        <v>96</v>
      </c>
      <c r="G12" s="12" t="s">
        <v>97</v>
      </c>
      <c r="H12" s="12" t="s">
        <v>101</v>
      </c>
      <c r="I12" s="12" t="s">
        <v>905</v>
      </c>
    </row>
    <row r="13" spans="1:9" ht="28.5" x14ac:dyDescent="0.45">
      <c r="A13" s="47" t="s">
        <v>91</v>
      </c>
      <c r="B13" s="47" t="s">
        <v>103</v>
      </c>
      <c r="C13" s="12" t="s">
        <v>69</v>
      </c>
      <c r="D13" s="14" t="s">
        <v>23</v>
      </c>
      <c r="E13" s="12" t="s">
        <v>76</v>
      </c>
      <c r="F13" s="12" t="s">
        <v>77</v>
      </c>
      <c r="G13" s="12" t="s">
        <v>78</v>
      </c>
      <c r="H13" s="12" t="s">
        <v>104</v>
      </c>
      <c r="I13" s="12" t="s">
        <v>1326</v>
      </c>
    </row>
    <row r="14" spans="1:9" ht="28.5" x14ac:dyDescent="0.45">
      <c r="A14" s="47" t="s">
        <v>94</v>
      </c>
      <c r="B14" s="47" t="s">
        <v>106</v>
      </c>
      <c r="C14" s="12" t="s">
        <v>69</v>
      </c>
      <c r="D14" s="14" t="s">
        <v>23</v>
      </c>
      <c r="E14" s="12" t="s">
        <v>70</v>
      </c>
      <c r="F14" s="12" t="s">
        <v>107</v>
      </c>
      <c r="G14" s="12" t="s">
        <v>108</v>
      </c>
      <c r="H14" s="12" t="s">
        <v>109</v>
      </c>
      <c r="I14" s="12" t="s">
        <v>1326</v>
      </c>
    </row>
    <row r="15" spans="1:9" ht="28.5" x14ac:dyDescent="0.45">
      <c r="A15" s="47" t="s">
        <v>102</v>
      </c>
      <c r="B15" s="47" t="s">
        <v>1334</v>
      </c>
      <c r="C15" s="12" t="s">
        <v>69</v>
      </c>
      <c r="D15" s="14" t="s">
        <v>23</v>
      </c>
      <c r="E15" s="12" t="s">
        <v>111</v>
      </c>
      <c r="F15" s="12" t="s">
        <v>71</v>
      </c>
      <c r="G15" s="12" t="s">
        <v>72</v>
      </c>
      <c r="H15" s="12" t="s">
        <v>112</v>
      </c>
      <c r="I15" s="12" t="s">
        <v>1326</v>
      </c>
    </row>
    <row r="16" spans="1:9" ht="28.5" x14ac:dyDescent="0.45">
      <c r="A16" s="47" t="s">
        <v>105</v>
      </c>
      <c r="B16" s="47" t="s">
        <v>113</v>
      </c>
      <c r="C16" s="12" t="s">
        <v>69</v>
      </c>
      <c r="D16" s="14" t="s">
        <v>23</v>
      </c>
      <c r="E16" s="12" t="s">
        <v>76</v>
      </c>
      <c r="F16" s="12" t="s">
        <v>77</v>
      </c>
      <c r="G16" s="12" t="s">
        <v>78</v>
      </c>
      <c r="H16" s="12" t="s">
        <v>114</v>
      </c>
      <c r="I16" s="12" t="s">
        <v>1326</v>
      </c>
    </row>
    <row r="17" spans="1:9" ht="28.5" x14ac:dyDescent="0.45">
      <c r="A17" s="47" t="s">
        <v>115</v>
      </c>
      <c r="B17" s="47" t="s">
        <v>116</v>
      </c>
      <c r="C17" s="12" t="s">
        <v>117</v>
      </c>
      <c r="D17" s="14" t="s">
        <v>23</v>
      </c>
      <c r="E17" s="12" t="s">
        <v>70</v>
      </c>
      <c r="F17" s="12" t="s">
        <v>118</v>
      </c>
      <c r="G17" s="12" t="s">
        <v>119</v>
      </c>
      <c r="H17" s="12" t="s">
        <v>120</v>
      </c>
      <c r="I17" s="12" t="s">
        <v>905</v>
      </c>
    </row>
    <row r="18" spans="1:9" s="40" customFormat="1" ht="28.5" x14ac:dyDescent="0.45">
      <c r="A18" s="47" t="s">
        <v>121</v>
      </c>
      <c r="B18" s="47" t="s">
        <v>122</v>
      </c>
      <c r="C18" s="12" t="s">
        <v>123</v>
      </c>
      <c r="D18" s="14" t="s">
        <v>23</v>
      </c>
      <c r="E18" s="12" t="s">
        <v>76</v>
      </c>
      <c r="F18" s="12" t="s">
        <v>124</v>
      </c>
      <c r="G18" s="12" t="s">
        <v>125</v>
      </c>
      <c r="H18" s="12" t="s">
        <v>126</v>
      </c>
      <c r="I18" s="12" t="s">
        <v>905</v>
      </c>
    </row>
    <row r="19" spans="1:9" ht="42.75" x14ac:dyDescent="0.45">
      <c r="A19" s="47" t="s">
        <v>321</v>
      </c>
      <c r="B19" s="47" t="s">
        <v>128</v>
      </c>
      <c r="C19" s="12" t="s">
        <v>123</v>
      </c>
      <c r="D19" s="14" t="s">
        <v>23</v>
      </c>
      <c r="E19" s="12" t="s">
        <v>70</v>
      </c>
      <c r="F19" s="12" t="s">
        <v>129</v>
      </c>
      <c r="G19" s="12" t="s">
        <v>130</v>
      </c>
      <c r="H19" s="12" t="s">
        <v>131</v>
      </c>
      <c r="I19" s="12" t="s">
        <v>1323</v>
      </c>
    </row>
    <row r="20" spans="1:9" ht="28.5" x14ac:dyDescent="0.45">
      <c r="A20" s="47" t="s">
        <v>99</v>
      </c>
      <c r="B20" s="47" t="s">
        <v>147</v>
      </c>
      <c r="C20" s="12" t="s">
        <v>69</v>
      </c>
      <c r="D20" s="12" t="s">
        <v>58</v>
      </c>
      <c r="E20" s="12" t="s">
        <v>148</v>
      </c>
      <c r="F20" s="12" t="s">
        <v>107</v>
      </c>
      <c r="G20" s="12" t="s">
        <v>108</v>
      </c>
      <c r="H20" s="12" t="s">
        <v>149</v>
      </c>
      <c r="I20" s="12" t="s">
        <v>1326</v>
      </c>
    </row>
    <row r="21" spans="1:9" s="40" customFormat="1" ht="42.75" x14ac:dyDescent="0.45">
      <c r="A21" s="47" t="s">
        <v>146</v>
      </c>
      <c r="B21" s="47" t="s">
        <v>151</v>
      </c>
      <c r="C21" s="12" t="s">
        <v>69</v>
      </c>
      <c r="D21" s="12" t="s">
        <v>58</v>
      </c>
      <c r="E21" s="12" t="s">
        <v>76</v>
      </c>
      <c r="F21" s="12" t="s">
        <v>107</v>
      </c>
      <c r="G21" s="12" t="s">
        <v>108</v>
      </c>
      <c r="H21" s="12" t="s">
        <v>152</v>
      </c>
      <c r="I21" s="12" t="s">
        <v>1326</v>
      </c>
    </row>
    <row r="22" spans="1:9" ht="28.5" x14ac:dyDescent="0.45">
      <c r="A22" s="47" t="s">
        <v>110</v>
      </c>
      <c r="B22" s="47" t="s">
        <v>153</v>
      </c>
      <c r="C22" s="12" t="s">
        <v>69</v>
      </c>
      <c r="D22" s="12" t="s">
        <v>58</v>
      </c>
      <c r="E22" s="12" t="s">
        <v>111</v>
      </c>
      <c r="F22" s="12" t="s">
        <v>107</v>
      </c>
      <c r="G22" s="12" t="s">
        <v>108</v>
      </c>
      <c r="H22" s="12" t="s">
        <v>154</v>
      </c>
      <c r="I22" s="12" t="s">
        <v>1326</v>
      </c>
    </row>
    <row r="23" spans="1:9" ht="28.5" x14ac:dyDescent="0.45">
      <c r="A23" s="47" t="s">
        <v>155</v>
      </c>
      <c r="B23" s="47" t="s">
        <v>156</v>
      </c>
      <c r="C23" s="12" t="s">
        <v>117</v>
      </c>
      <c r="D23" s="12" t="s">
        <v>58</v>
      </c>
      <c r="E23" s="12" t="s">
        <v>70</v>
      </c>
      <c r="F23" s="12" t="s">
        <v>118</v>
      </c>
      <c r="G23" s="12" t="s">
        <v>119</v>
      </c>
      <c r="H23" s="12" t="s">
        <v>157</v>
      </c>
      <c r="I23" s="12" t="s">
        <v>905</v>
      </c>
    </row>
    <row r="24" spans="1:9" ht="28.5" x14ac:dyDescent="0.45">
      <c r="A24" s="47" t="s">
        <v>158</v>
      </c>
      <c r="B24" s="47" t="s">
        <v>159</v>
      </c>
      <c r="C24" s="12" t="s">
        <v>143</v>
      </c>
      <c r="D24" s="12" t="s">
        <v>58</v>
      </c>
      <c r="E24" s="12" t="s">
        <v>70</v>
      </c>
      <c r="F24" s="12" t="s">
        <v>160</v>
      </c>
      <c r="G24" s="12" t="s">
        <v>161</v>
      </c>
      <c r="H24" s="12" t="s">
        <v>162</v>
      </c>
      <c r="I24" s="12" t="s">
        <v>1323</v>
      </c>
    </row>
    <row r="25" spans="1:9" s="40" customFormat="1" x14ac:dyDescent="0.45">
      <c r="A25"/>
      <c r="B25"/>
      <c r="C25"/>
      <c r="D25"/>
      <c r="E25"/>
      <c r="F25"/>
      <c r="G25"/>
      <c r="H25"/>
      <c r="I25"/>
    </row>
    <row r="26" spans="1:9" s="40" customFormat="1" x14ac:dyDescent="0.45">
      <c r="A26"/>
      <c r="B26"/>
      <c r="C26"/>
      <c r="D26"/>
      <c r="E26"/>
      <c r="F26"/>
      <c r="G26"/>
      <c r="H26"/>
      <c r="I26"/>
    </row>
    <row r="27" spans="1:9" s="40" customFormat="1" x14ac:dyDescent="0.45">
      <c r="A27"/>
      <c r="B27"/>
      <c r="C27"/>
      <c r="D27"/>
      <c r="E27"/>
      <c r="F27"/>
      <c r="G27"/>
      <c r="H27"/>
      <c r="I27"/>
    </row>
    <row r="28" spans="1:9" s="40" customFormat="1" x14ac:dyDescent="0.45">
      <c r="A28"/>
      <c r="B28"/>
      <c r="C28"/>
      <c r="D28"/>
      <c r="E28"/>
      <c r="F28"/>
      <c r="G28"/>
      <c r="H28"/>
      <c r="I28"/>
    </row>
    <row r="30" spans="1:9" s="40" customFormat="1" x14ac:dyDescent="0.45">
      <c r="A30"/>
      <c r="B30"/>
      <c r="C30"/>
      <c r="D30"/>
      <c r="E30"/>
      <c r="F30"/>
      <c r="G30"/>
      <c r="H30"/>
      <c r="I30"/>
    </row>
  </sheetData>
  <mergeCells count="1">
    <mergeCell ref="A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0"/>
  <sheetViews>
    <sheetView showGridLines="0" zoomScaleNormal="100" workbookViewId="0">
      <pane ySplit="5" topLeftCell="A130" activePane="bottomLeft" state="frozen"/>
      <selection pane="bottomLeft" activeCell="E143" sqref="E143"/>
    </sheetView>
  </sheetViews>
  <sheetFormatPr defaultColWidth="8.6640625" defaultRowHeight="14.25" x14ac:dyDescent="0.45"/>
  <cols>
    <col min="1" max="1" width="11" customWidth="1"/>
    <col min="2" max="2" width="40" customWidth="1"/>
    <col min="3" max="3" width="26" customWidth="1"/>
    <col min="4" max="4" width="10" customWidth="1"/>
    <col min="5" max="5" width="20" customWidth="1"/>
    <col min="6" max="6" width="26" customWidth="1"/>
    <col min="7" max="7" width="9" customWidth="1"/>
    <col min="8" max="8" width="34" customWidth="1"/>
    <col min="9" max="9" width="14" customWidth="1"/>
  </cols>
  <sheetData>
    <row r="1" spans="1:9" ht="18" x14ac:dyDescent="0.55000000000000004">
      <c r="A1" s="1" t="s">
        <v>1330</v>
      </c>
    </row>
    <row r="2" spans="1:9" x14ac:dyDescent="0.45">
      <c r="A2" s="2" t="str">
        <f>COUNTA(A6:A150)&amp;" items  ·  "&amp;COUNTIF(D6:D150,"Critical")&amp;" Critical"</f>
        <v>145 items  ·  69 Critical</v>
      </c>
    </row>
    <row r="3" spans="1:9" ht="43.5" customHeight="1" x14ac:dyDescent="0.45">
      <c r="A3" s="42" t="s">
        <v>163</v>
      </c>
      <c r="B3" s="42"/>
      <c r="C3" s="42"/>
      <c r="D3" s="42"/>
      <c r="E3" s="42"/>
      <c r="F3" s="42"/>
      <c r="G3" s="42"/>
      <c r="H3" s="42"/>
      <c r="I3" s="42"/>
    </row>
    <row r="5" spans="1:9" s="17" customFormat="1" x14ac:dyDescent="0.45">
      <c r="A5" s="16" t="s">
        <v>10</v>
      </c>
      <c r="B5" s="16" t="s">
        <v>11</v>
      </c>
      <c r="C5" s="16" t="s">
        <v>13</v>
      </c>
      <c r="D5" s="16" t="s">
        <v>14</v>
      </c>
      <c r="E5" s="16" t="s">
        <v>1333</v>
      </c>
      <c r="F5" s="16" t="s">
        <v>15</v>
      </c>
      <c r="G5" s="16" t="s">
        <v>16</v>
      </c>
      <c r="H5" s="16" t="s">
        <v>17</v>
      </c>
      <c r="I5" s="16" t="s">
        <v>18</v>
      </c>
    </row>
    <row r="6" spans="1:9" ht="28.5" x14ac:dyDescent="0.45">
      <c r="A6" s="47" t="s">
        <v>164</v>
      </c>
      <c r="B6" s="47" t="s">
        <v>165</v>
      </c>
      <c r="C6" s="12" t="s">
        <v>166</v>
      </c>
      <c r="D6" s="14" t="s">
        <v>23</v>
      </c>
      <c r="E6" s="12" t="s">
        <v>167</v>
      </c>
      <c r="F6" s="12" t="s">
        <v>168</v>
      </c>
      <c r="G6" s="12" t="s">
        <v>169</v>
      </c>
      <c r="H6" s="12" t="s">
        <v>170</v>
      </c>
      <c r="I6" s="12" t="s">
        <v>1323</v>
      </c>
    </row>
    <row r="7" spans="1:9" ht="28.5" x14ac:dyDescent="0.45">
      <c r="A7" s="47" t="s">
        <v>171</v>
      </c>
      <c r="B7" s="47" t="s">
        <v>172</v>
      </c>
      <c r="C7" s="12" t="s">
        <v>166</v>
      </c>
      <c r="D7" s="14" t="s">
        <v>23</v>
      </c>
      <c r="E7" s="12" t="s">
        <v>167</v>
      </c>
      <c r="F7" s="12" t="s">
        <v>168</v>
      </c>
      <c r="G7" s="12" t="s">
        <v>169</v>
      </c>
      <c r="H7" s="12" t="s">
        <v>173</v>
      </c>
      <c r="I7" s="12" t="s">
        <v>1323</v>
      </c>
    </row>
    <row r="8" spans="1:9" ht="28.5" x14ac:dyDescent="0.45">
      <c r="A8" s="47" t="s">
        <v>174</v>
      </c>
      <c r="B8" s="47" t="s">
        <v>175</v>
      </c>
      <c r="C8" s="12" t="s">
        <v>166</v>
      </c>
      <c r="D8" s="14" t="s">
        <v>23</v>
      </c>
      <c r="E8" s="12" t="s">
        <v>167</v>
      </c>
      <c r="F8" s="12" t="s">
        <v>168</v>
      </c>
      <c r="G8" s="12" t="s">
        <v>169</v>
      </c>
      <c r="H8" s="12" t="s">
        <v>176</v>
      </c>
      <c r="I8" s="12" t="s">
        <v>1323</v>
      </c>
    </row>
    <row r="9" spans="1:9" s="40" customFormat="1" ht="28.5" x14ac:dyDescent="0.45">
      <c r="A9" s="47" t="s">
        <v>177</v>
      </c>
      <c r="B9" s="47" t="s">
        <v>186</v>
      </c>
      <c r="C9" s="12" t="s">
        <v>166</v>
      </c>
      <c r="D9" s="14" t="s">
        <v>23</v>
      </c>
      <c r="E9" s="12" t="s">
        <v>187</v>
      </c>
      <c r="F9" s="12" t="s">
        <v>188</v>
      </c>
      <c r="G9" s="12" t="s">
        <v>189</v>
      </c>
      <c r="H9" s="12" t="s">
        <v>190</v>
      </c>
      <c r="I9" s="12" t="s">
        <v>905</v>
      </c>
    </row>
    <row r="10" spans="1:9" s="40" customFormat="1" ht="28.5" x14ac:dyDescent="0.45">
      <c r="A10" s="47" t="s">
        <v>178</v>
      </c>
      <c r="B10" s="47" t="s">
        <v>1335</v>
      </c>
      <c r="C10" s="12" t="s">
        <v>166</v>
      </c>
      <c r="D10" s="14" t="s">
        <v>23</v>
      </c>
      <c r="E10" s="12" t="s">
        <v>1336</v>
      </c>
      <c r="F10" s="12" t="s">
        <v>188</v>
      </c>
      <c r="G10" s="12" t="s">
        <v>189</v>
      </c>
      <c r="H10" s="12" t="s">
        <v>1337</v>
      </c>
      <c r="I10" s="12" t="s">
        <v>905</v>
      </c>
    </row>
    <row r="11" spans="1:9" s="40" customFormat="1" ht="42.75" x14ac:dyDescent="0.45">
      <c r="A11" s="47" t="s">
        <v>185</v>
      </c>
      <c r="B11" s="47" t="s">
        <v>192</v>
      </c>
      <c r="C11" s="12" t="s">
        <v>166</v>
      </c>
      <c r="D11" s="14" t="s">
        <v>23</v>
      </c>
      <c r="E11" s="12" t="s">
        <v>167</v>
      </c>
      <c r="F11" s="12" t="s">
        <v>193</v>
      </c>
      <c r="G11" s="12" t="s">
        <v>194</v>
      </c>
      <c r="H11" s="12" t="s">
        <v>195</v>
      </c>
      <c r="I11" s="12" t="s">
        <v>1324</v>
      </c>
    </row>
    <row r="12" spans="1:9" s="40" customFormat="1" ht="28.5" x14ac:dyDescent="0.45">
      <c r="A12" s="47" t="s">
        <v>472</v>
      </c>
      <c r="B12" s="47" t="s">
        <v>196</v>
      </c>
      <c r="C12" s="12" t="s">
        <v>166</v>
      </c>
      <c r="D12" s="14" t="s">
        <v>23</v>
      </c>
      <c r="E12" s="12" t="s">
        <v>167</v>
      </c>
      <c r="F12" s="12" t="s">
        <v>197</v>
      </c>
      <c r="G12" s="12" t="s">
        <v>198</v>
      </c>
      <c r="H12" s="12" t="s">
        <v>199</v>
      </c>
      <c r="I12" s="12" t="s">
        <v>1323</v>
      </c>
    </row>
    <row r="13" spans="1:9" s="40" customFormat="1" ht="28.5" x14ac:dyDescent="0.45">
      <c r="A13" s="47" t="s">
        <v>200</v>
      </c>
      <c r="B13" s="47" t="s">
        <v>201</v>
      </c>
      <c r="C13" s="12" t="s">
        <v>117</v>
      </c>
      <c r="D13" s="14" t="s">
        <v>23</v>
      </c>
      <c r="E13" s="12" t="s">
        <v>167</v>
      </c>
      <c r="F13" s="12" t="s">
        <v>202</v>
      </c>
      <c r="G13" s="12" t="s">
        <v>203</v>
      </c>
      <c r="H13" s="12" t="s">
        <v>204</v>
      </c>
      <c r="I13" s="12" t="s">
        <v>905</v>
      </c>
    </row>
    <row r="14" spans="1:9" ht="28.5" x14ac:dyDescent="0.45">
      <c r="A14" s="47" t="s">
        <v>205</v>
      </c>
      <c r="B14" s="47" t="s">
        <v>206</v>
      </c>
      <c r="C14" s="12" t="s">
        <v>117</v>
      </c>
      <c r="D14" s="14" t="s">
        <v>23</v>
      </c>
      <c r="E14" s="12" t="s">
        <v>167</v>
      </c>
      <c r="F14" s="12" t="s">
        <v>207</v>
      </c>
      <c r="G14" s="12" t="s">
        <v>208</v>
      </c>
      <c r="H14" s="12" t="s">
        <v>209</v>
      </c>
      <c r="I14" s="12" t="s">
        <v>1323</v>
      </c>
    </row>
    <row r="15" spans="1:9" ht="28.5" x14ac:dyDescent="0.45">
      <c r="A15" s="47" t="s">
        <v>210</v>
      </c>
      <c r="B15" s="47" t="s">
        <v>211</v>
      </c>
      <c r="C15" s="12" t="s">
        <v>117</v>
      </c>
      <c r="D15" s="14" t="s">
        <v>23</v>
      </c>
      <c r="E15" s="12" t="s">
        <v>167</v>
      </c>
      <c r="F15" s="12" t="s">
        <v>207</v>
      </c>
      <c r="G15" s="12" t="s">
        <v>208</v>
      </c>
      <c r="H15" s="12" t="s">
        <v>212</v>
      </c>
      <c r="I15" s="12" t="s">
        <v>1323</v>
      </c>
    </row>
    <row r="16" spans="1:9" x14ac:dyDescent="0.45">
      <c r="A16" s="47" t="s">
        <v>213</v>
      </c>
      <c r="B16" s="47" t="s">
        <v>214</v>
      </c>
      <c r="C16" s="12" t="s">
        <v>117</v>
      </c>
      <c r="D16" s="14" t="s">
        <v>23</v>
      </c>
      <c r="E16" s="12" t="s">
        <v>215</v>
      </c>
      <c r="F16" s="12" t="s">
        <v>202</v>
      </c>
      <c r="G16" s="12" t="s">
        <v>203</v>
      </c>
      <c r="H16" s="12" t="s">
        <v>216</v>
      </c>
      <c r="I16" s="12" t="s">
        <v>905</v>
      </c>
    </row>
    <row r="17" spans="1:9" ht="28.5" x14ac:dyDescent="0.45">
      <c r="A17" s="47" t="s">
        <v>217</v>
      </c>
      <c r="B17" s="47" t="s">
        <v>218</v>
      </c>
      <c r="C17" s="12" t="s">
        <v>117</v>
      </c>
      <c r="D17" s="14" t="s">
        <v>23</v>
      </c>
      <c r="E17" s="12" t="s">
        <v>167</v>
      </c>
      <c r="F17" s="12" t="s">
        <v>219</v>
      </c>
      <c r="G17" s="12" t="s">
        <v>220</v>
      </c>
      <c r="H17" s="12" t="s">
        <v>221</v>
      </c>
      <c r="I17" s="12" t="s">
        <v>1323</v>
      </c>
    </row>
    <row r="18" spans="1:9" ht="28.5" x14ac:dyDescent="0.45">
      <c r="A18" s="47" t="s">
        <v>222</v>
      </c>
      <c r="B18" s="47" t="s">
        <v>223</v>
      </c>
      <c r="C18" s="12" t="s">
        <v>117</v>
      </c>
      <c r="D18" s="14" t="s">
        <v>23</v>
      </c>
      <c r="E18" s="12" t="s">
        <v>167</v>
      </c>
      <c r="F18" s="12" t="s">
        <v>219</v>
      </c>
      <c r="G18" s="12" t="s">
        <v>220</v>
      </c>
      <c r="H18" s="12" t="s">
        <v>224</v>
      </c>
      <c r="I18" s="12" t="s">
        <v>1323</v>
      </c>
    </row>
    <row r="19" spans="1:9" ht="28.5" x14ac:dyDescent="0.45">
      <c r="A19" s="47" t="s">
        <v>225</v>
      </c>
      <c r="B19" s="47" t="s">
        <v>226</v>
      </c>
      <c r="C19" s="12" t="s">
        <v>117</v>
      </c>
      <c r="D19" s="14" t="s">
        <v>23</v>
      </c>
      <c r="E19" s="12" t="s">
        <v>167</v>
      </c>
      <c r="F19" s="12" t="s">
        <v>118</v>
      </c>
      <c r="G19" s="12" t="s">
        <v>119</v>
      </c>
      <c r="H19" s="12" t="s">
        <v>227</v>
      </c>
      <c r="I19" s="12" t="s">
        <v>905</v>
      </c>
    </row>
    <row r="20" spans="1:9" ht="42.75" x14ac:dyDescent="0.45">
      <c r="A20" s="47" t="s">
        <v>228</v>
      </c>
      <c r="B20" s="47" t="s">
        <v>229</v>
      </c>
      <c r="C20" s="12" t="s">
        <v>117</v>
      </c>
      <c r="D20" s="14" t="s">
        <v>23</v>
      </c>
      <c r="E20" s="12" t="s">
        <v>184</v>
      </c>
      <c r="F20" s="12" t="s">
        <v>118</v>
      </c>
      <c r="G20" s="12" t="s">
        <v>119</v>
      </c>
      <c r="H20" s="12" t="s">
        <v>230</v>
      </c>
      <c r="I20" s="12" t="s">
        <v>905</v>
      </c>
    </row>
    <row r="21" spans="1:9" ht="28.5" x14ac:dyDescent="0.45">
      <c r="A21" s="47" t="s">
        <v>231</v>
      </c>
      <c r="B21" s="47" t="s">
        <v>232</v>
      </c>
      <c r="C21" s="12" t="s">
        <v>117</v>
      </c>
      <c r="D21" s="14" t="s">
        <v>23</v>
      </c>
      <c r="E21" s="12" t="s">
        <v>167</v>
      </c>
      <c r="F21" s="12" t="s">
        <v>118</v>
      </c>
      <c r="G21" s="12" t="s">
        <v>119</v>
      </c>
      <c r="H21" s="12" t="s">
        <v>233</v>
      </c>
      <c r="I21" s="12" t="s">
        <v>905</v>
      </c>
    </row>
    <row r="22" spans="1:9" ht="42.75" x14ac:dyDescent="0.45">
      <c r="A22" s="47" t="s">
        <v>234</v>
      </c>
      <c r="B22" s="47" t="s">
        <v>235</v>
      </c>
      <c r="C22" s="12" t="s">
        <v>117</v>
      </c>
      <c r="D22" s="14" t="s">
        <v>23</v>
      </c>
      <c r="E22" s="12" t="s">
        <v>167</v>
      </c>
      <c r="F22" s="12" t="s">
        <v>202</v>
      </c>
      <c r="G22" s="12" t="s">
        <v>203</v>
      </c>
      <c r="H22" s="12" t="s">
        <v>236</v>
      </c>
      <c r="I22" s="12" t="s">
        <v>905</v>
      </c>
    </row>
    <row r="23" spans="1:9" ht="28.5" x14ac:dyDescent="0.45">
      <c r="A23" s="47" t="s">
        <v>237</v>
      </c>
      <c r="B23" s="47" t="s">
        <v>238</v>
      </c>
      <c r="C23" s="12" t="s">
        <v>239</v>
      </c>
      <c r="D23" s="14" t="s">
        <v>23</v>
      </c>
      <c r="E23" s="12" t="s">
        <v>167</v>
      </c>
      <c r="F23" s="12" t="s">
        <v>240</v>
      </c>
      <c r="G23" s="12" t="s">
        <v>241</v>
      </c>
      <c r="H23" s="12" t="s">
        <v>242</v>
      </c>
      <c r="I23" s="12" t="s">
        <v>1323</v>
      </c>
    </row>
    <row r="24" spans="1:9" ht="28.5" x14ac:dyDescent="0.45">
      <c r="A24" s="47" t="s">
        <v>243</v>
      </c>
      <c r="B24" s="47" t="s">
        <v>244</v>
      </c>
      <c r="C24" s="12" t="s">
        <v>239</v>
      </c>
      <c r="D24" s="14" t="s">
        <v>23</v>
      </c>
      <c r="E24" s="12" t="s">
        <v>167</v>
      </c>
      <c r="F24" s="12" t="s">
        <v>240</v>
      </c>
      <c r="G24" s="12" t="s">
        <v>241</v>
      </c>
      <c r="H24" s="12" t="s">
        <v>245</v>
      </c>
      <c r="I24" s="12" t="s">
        <v>1323</v>
      </c>
    </row>
    <row r="25" spans="1:9" ht="28.5" x14ac:dyDescent="0.45">
      <c r="A25" s="47" t="s">
        <v>246</v>
      </c>
      <c r="B25" s="47" t="s">
        <v>247</v>
      </c>
      <c r="C25" s="12" t="s">
        <v>239</v>
      </c>
      <c r="D25" s="14" t="s">
        <v>23</v>
      </c>
      <c r="E25" s="12" t="s">
        <v>167</v>
      </c>
      <c r="F25" s="12" t="s">
        <v>240</v>
      </c>
      <c r="G25" s="12" t="s">
        <v>241</v>
      </c>
      <c r="H25" s="12" t="s">
        <v>248</v>
      </c>
      <c r="I25" s="12" t="s">
        <v>1323</v>
      </c>
    </row>
    <row r="26" spans="1:9" ht="28.5" x14ac:dyDescent="0.45">
      <c r="A26" s="47" t="s">
        <v>249</v>
      </c>
      <c r="B26" s="47" t="s">
        <v>250</v>
      </c>
      <c r="C26" s="12" t="s">
        <v>239</v>
      </c>
      <c r="D26" s="14" t="s">
        <v>23</v>
      </c>
      <c r="E26" s="12" t="s">
        <v>167</v>
      </c>
      <c r="F26" s="12" t="s">
        <v>240</v>
      </c>
      <c r="G26" s="12" t="s">
        <v>241</v>
      </c>
      <c r="H26" s="12" t="s">
        <v>251</v>
      </c>
      <c r="I26" s="12" t="s">
        <v>1323</v>
      </c>
    </row>
    <row r="27" spans="1:9" ht="28.5" x14ac:dyDescent="0.45">
      <c r="A27" s="47" t="s">
        <v>252</v>
      </c>
      <c r="B27" s="47" t="s">
        <v>253</v>
      </c>
      <c r="C27" s="12" t="s">
        <v>239</v>
      </c>
      <c r="D27" s="14" t="s">
        <v>23</v>
      </c>
      <c r="E27" s="12" t="s">
        <v>167</v>
      </c>
      <c r="F27" s="12" t="s">
        <v>254</v>
      </c>
      <c r="G27" s="12" t="s">
        <v>255</v>
      </c>
      <c r="H27" s="12" t="s">
        <v>256</v>
      </c>
      <c r="I27" s="12" t="s">
        <v>1324</v>
      </c>
    </row>
    <row r="28" spans="1:9" ht="28.5" x14ac:dyDescent="0.45">
      <c r="A28" s="47" t="s">
        <v>259</v>
      </c>
      <c r="B28" s="47" t="s">
        <v>265</v>
      </c>
      <c r="C28" s="12" t="s">
        <v>260</v>
      </c>
      <c r="D28" s="14" t="s">
        <v>23</v>
      </c>
      <c r="E28" s="12" t="s">
        <v>261</v>
      </c>
      <c r="F28" s="12" t="s">
        <v>262</v>
      </c>
      <c r="G28" s="12" t="s">
        <v>263</v>
      </c>
      <c r="H28" s="12" t="s">
        <v>266</v>
      </c>
      <c r="I28" s="12" t="s">
        <v>905</v>
      </c>
    </row>
    <row r="29" spans="1:9" ht="28.5" x14ac:dyDescent="0.45">
      <c r="A29" s="47" t="s">
        <v>537</v>
      </c>
      <c r="B29" s="47" t="s">
        <v>269</v>
      </c>
      <c r="C29" s="12" t="s">
        <v>260</v>
      </c>
      <c r="D29" s="14" t="s">
        <v>23</v>
      </c>
      <c r="E29" s="12" t="s">
        <v>270</v>
      </c>
      <c r="F29" s="12" t="s">
        <v>271</v>
      </c>
      <c r="G29" s="12" t="s">
        <v>272</v>
      </c>
      <c r="H29" s="12" t="s">
        <v>273</v>
      </c>
      <c r="I29" s="12" t="s">
        <v>905</v>
      </c>
    </row>
    <row r="30" spans="1:9" ht="28.5" x14ac:dyDescent="0.45">
      <c r="A30" s="47" t="s">
        <v>268</v>
      </c>
      <c r="B30" s="47" t="s">
        <v>279</v>
      </c>
      <c r="C30" s="12" t="s">
        <v>260</v>
      </c>
      <c r="D30" s="14" t="s">
        <v>23</v>
      </c>
      <c r="E30" s="12" t="s">
        <v>258</v>
      </c>
      <c r="F30" s="12" t="s">
        <v>280</v>
      </c>
      <c r="G30" s="12" t="s">
        <v>281</v>
      </c>
      <c r="H30" s="12" t="s">
        <v>282</v>
      </c>
      <c r="I30" s="12" t="s">
        <v>905</v>
      </c>
    </row>
    <row r="31" spans="1:9" ht="42.75" x14ac:dyDescent="0.45">
      <c r="A31" s="47" t="s">
        <v>274</v>
      </c>
      <c r="B31" s="47" t="s">
        <v>283</v>
      </c>
      <c r="C31" s="12" t="s">
        <v>260</v>
      </c>
      <c r="D31" s="14" t="s">
        <v>23</v>
      </c>
      <c r="E31" s="12" t="s">
        <v>258</v>
      </c>
      <c r="F31" s="12" t="s">
        <v>280</v>
      </c>
      <c r="G31" s="12" t="s">
        <v>281</v>
      </c>
      <c r="H31" s="12" t="s">
        <v>284</v>
      </c>
      <c r="I31" s="12" t="s">
        <v>905</v>
      </c>
    </row>
    <row r="32" spans="1:9" ht="28.5" x14ac:dyDescent="0.45">
      <c r="A32" s="47" t="s">
        <v>275</v>
      </c>
      <c r="B32" s="47" t="s">
        <v>1338</v>
      </c>
      <c r="C32" s="12" t="s">
        <v>260</v>
      </c>
      <c r="D32" s="14" t="s">
        <v>23</v>
      </c>
      <c r="E32" s="12" t="s">
        <v>258</v>
      </c>
      <c r="F32" s="12" t="s">
        <v>280</v>
      </c>
      <c r="G32" s="12" t="s">
        <v>281</v>
      </c>
      <c r="H32" s="12" t="s">
        <v>285</v>
      </c>
      <c r="I32" s="12" t="s">
        <v>905</v>
      </c>
    </row>
    <row r="33" spans="1:9" s="40" customFormat="1" ht="28.5" x14ac:dyDescent="0.45">
      <c r="A33" s="47" t="s">
        <v>278</v>
      </c>
      <c r="B33" s="47" t="s">
        <v>286</v>
      </c>
      <c r="C33" s="12" t="s">
        <v>260</v>
      </c>
      <c r="D33" s="14" t="s">
        <v>23</v>
      </c>
      <c r="E33" s="12" t="s">
        <v>258</v>
      </c>
      <c r="F33" s="12" t="s">
        <v>280</v>
      </c>
      <c r="G33" s="12" t="s">
        <v>281</v>
      </c>
      <c r="H33" s="12" t="s">
        <v>287</v>
      </c>
      <c r="I33" s="12" t="s">
        <v>905</v>
      </c>
    </row>
    <row r="34" spans="1:9" s="40" customFormat="1" ht="28.5" x14ac:dyDescent="0.45">
      <c r="A34" s="47" t="s">
        <v>288</v>
      </c>
      <c r="B34" s="47" t="s">
        <v>289</v>
      </c>
      <c r="C34" s="12" t="s">
        <v>290</v>
      </c>
      <c r="D34" s="14" t="s">
        <v>23</v>
      </c>
      <c r="E34" s="12" t="s">
        <v>215</v>
      </c>
      <c r="F34" s="12" t="s">
        <v>291</v>
      </c>
      <c r="G34" s="12" t="s">
        <v>292</v>
      </c>
      <c r="H34" s="12" t="s">
        <v>293</v>
      </c>
      <c r="I34" s="12" t="s">
        <v>1323</v>
      </c>
    </row>
    <row r="35" spans="1:9" ht="28.5" x14ac:dyDescent="0.45">
      <c r="A35" s="47" t="s">
        <v>294</v>
      </c>
      <c r="B35" s="47" t="s">
        <v>295</v>
      </c>
      <c r="C35" s="12" t="s">
        <v>290</v>
      </c>
      <c r="D35" s="14" t="s">
        <v>23</v>
      </c>
      <c r="E35" s="12" t="s">
        <v>167</v>
      </c>
      <c r="F35" s="12" t="s">
        <v>296</v>
      </c>
      <c r="G35" s="12" t="s">
        <v>297</v>
      </c>
      <c r="H35" s="12" t="s">
        <v>298</v>
      </c>
      <c r="I35" s="12" t="s">
        <v>1324</v>
      </c>
    </row>
    <row r="36" spans="1:9" s="40" customFormat="1" ht="42.75" x14ac:dyDescent="0.45">
      <c r="A36" s="47" t="s">
        <v>299</v>
      </c>
      <c r="B36" s="47" t="s">
        <v>306</v>
      </c>
      <c r="C36" s="12" t="s">
        <v>290</v>
      </c>
      <c r="D36" s="14" t="s">
        <v>23</v>
      </c>
      <c r="E36" s="12" t="s">
        <v>258</v>
      </c>
      <c r="F36" s="12" t="s">
        <v>300</v>
      </c>
      <c r="G36" s="12" t="s">
        <v>301</v>
      </c>
      <c r="H36" s="12" t="s">
        <v>307</v>
      </c>
      <c r="I36" s="12" t="s">
        <v>905</v>
      </c>
    </row>
    <row r="37" spans="1:9" ht="28.5" x14ac:dyDescent="0.45">
      <c r="A37" s="47" t="s">
        <v>303</v>
      </c>
      <c r="B37" s="47" t="s">
        <v>310</v>
      </c>
      <c r="C37" s="12" t="s">
        <v>290</v>
      </c>
      <c r="D37" s="14" t="s">
        <v>23</v>
      </c>
      <c r="E37" s="12" t="s">
        <v>258</v>
      </c>
      <c r="F37" s="12" t="s">
        <v>311</v>
      </c>
      <c r="G37" s="12" t="s">
        <v>312</v>
      </c>
      <c r="H37" s="12" t="s">
        <v>313</v>
      </c>
      <c r="I37" s="12" t="s">
        <v>1324</v>
      </c>
    </row>
    <row r="38" spans="1:9" s="40" customFormat="1" ht="28.5" x14ac:dyDescent="0.45">
      <c r="A38" s="47" t="s">
        <v>552</v>
      </c>
      <c r="B38" s="47" t="s">
        <v>314</v>
      </c>
      <c r="C38" s="12" t="s">
        <v>290</v>
      </c>
      <c r="D38" s="14" t="s">
        <v>23</v>
      </c>
      <c r="E38" s="12" t="s">
        <v>215</v>
      </c>
      <c r="F38" s="12" t="s">
        <v>291</v>
      </c>
      <c r="G38" s="12" t="s">
        <v>292</v>
      </c>
      <c r="H38" s="12" t="s">
        <v>315</v>
      </c>
      <c r="I38" s="12" t="s">
        <v>1323</v>
      </c>
    </row>
    <row r="39" spans="1:9" s="40" customFormat="1" ht="28.5" x14ac:dyDescent="0.45">
      <c r="A39" s="47" t="s">
        <v>308</v>
      </c>
      <c r="B39" s="47" t="s">
        <v>316</v>
      </c>
      <c r="C39" s="12" t="s">
        <v>290</v>
      </c>
      <c r="D39" s="14" t="s">
        <v>23</v>
      </c>
      <c r="E39" s="12" t="s">
        <v>215</v>
      </c>
      <c r="F39" s="12" t="s">
        <v>291</v>
      </c>
      <c r="G39" s="12" t="s">
        <v>292</v>
      </c>
      <c r="H39" s="12" t="s">
        <v>317</v>
      </c>
      <c r="I39" s="12" t="s">
        <v>1323</v>
      </c>
    </row>
    <row r="40" spans="1:9" s="40" customFormat="1" ht="28.5" x14ac:dyDescent="0.45">
      <c r="A40" s="47" t="s">
        <v>320</v>
      </c>
      <c r="B40" s="47" t="s">
        <v>326</v>
      </c>
      <c r="C40" s="12" t="s">
        <v>123</v>
      </c>
      <c r="D40" s="14" t="s">
        <v>23</v>
      </c>
      <c r="E40" s="12" t="s">
        <v>167</v>
      </c>
      <c r="F40" s="12" t="s">
        <v>129</v>
      </c>
      <c r="G40" s="12" t="s">
        <v>130</v>
      </c>
      <c r="H40" s="12" t="s">
        <v>327</v>
      </c>
      <c r="I40" s="12" t="s">
        <v>1323</v>
      </c>
    </row>
    <row r="41" spans="1:9" s="40" customFormat="1" ht="28.5" x14ac:dyDescent="0.45">
      <c r="A41" s="47" t="s">
        <v>328</v>
      </c>
      <c r="B41" s="48" t="s">
        <v>329</v>
      </c>
      <c r="C41" s="12" t="s">
        <v>330</v>
      </c>
      <c r="D41" s="14" t="s">
        <v>23</v>
      </c>
      <c r="E41" s="12" t="s">
        <v>167</v>
      </c>
      <c r="F41" s="12" t="s">
        <v>331</v>
      </c>
      <c r="G41" s="12" t="s">
        <v>332</v>
      </c>
      <c r="H41" s="12" t="s">
        <v>333</v>
      </c>
      <c r="I41" s="12" t="s">
        <v>1323</v>
      </c>
    </row>
    <row r="42" spans="1:9" s="40" customFormat="1" ht="28.5" x14ac:dyDescent="0.45">
      <c r="A42" s="47" t="s">
        <v>334</v>
      </c>
      <c r="B42" s="47" t="s">
        <v>335</v>
      </c>
      <c r="C42" s="12" t="s">
        <v>330</v>
      </c>
      <c r="D42" s="14" t="s">
        <v>23</v>
      </c>
      <c r="E42" s="12" t="s">
        <v>167</v>
      </c>
      <c r="F42" s="12" t="s">
        <v>331</v>
      </c>
      <c r="G42" s="12" t="s">
        <v>332</v>
      </c>
      <c r="H42" s="12" t="s">
        <v>336</v>
      </c>
      <c r="I42" s="12" t="s">
        <v>1323</v>
      </c>
    </row>
    <row r="43" spans="1:9" ht="28.5" x14ac:dyDescent="0.45">
      <c r="A43" s="47" t="s">
        <v>340</v>
      </c>
      <c r="B43" s="47" t="s">
        <v>341</v>
      </c>
      <c r="C43" s="12" t="s">
        <v>342</v>
      </c>
      <c r="D43" s="14" t="s">
        <v>23</v>
      </c>
      <c r="E43" s="12" t="s">
        <v>215</v>
      </c>
      <c r="F43" s="12" t="s">
        <v>343</v>
      </c>
      <c r="G43" s="12" t="s">
        <v>344</v>
      </c>
      <c r="H43" s="12" t="s">
        <v>345</v>
      </c>
      <c r="I43" s="12" t="s">
        <v>1324</v>
      </c>
    </row>
    <row r="44" spans="1:9" ht="28.5" x14ac:dyDescent="0.45">
      <c r="A44" s="47" t="s">
        <v>346</v>
      </c>
      <c r="B44" s="47" t="s">
        <v>347</v>
      </c>
      <c r="C44" s="12" t="s">
        <v>342</v>
      </c>
      <c r="D44" s="14" t="s">
        <v>23</v>
      </c>
      <c r="E44" s="12" t="s">
        <v>323</v>
      </c>
      <c r="F44" s="12" t="s">
        <v>348</v>
      </c>
      <c r="G44" s="12" t="s">
        <v>349</v>
      </c>
      <c r="H44" s="12" t="s">
        <v>350</v>
      </c>
      <c r="I44" s="12" t="s">
        <v>905</v>
      </c>
    </row>
    <row r="45" spans="1:9" ht="28.5" x14ac:dyDescent="0.45">
      <c r="A45" s="47" t="s">
        <v>351</v>
      </c>
      <c r="B45" s="47" t="s">
        <v>353</v>
      </c>
      <c r="C45" s="12" t="s">
        <v>342</v>
      </c>
      <c r="D45" s="14" t="s">
        <v>23</v>
      </c>
      <c r="E45" s="12" t="s">
        <v>323</v>
      </c>
      <c r="F45" s="12" t="s">
        <v>348</v>
      </c>
      <c r="G45" s="12" t="s">
        <v>349</v>
      </c>
      <c r="H45" s="12" t="s">
        <v>354</v>
      </c>
      <c r="I45" s="12" t="s">
        <v>905</v>
      </c>
    </row>
    <row r="46" spans="1:9" ht="28.5" x14ac:dyDescent="0.45">
      <c r="A46" s="47" t="s">
        <v>352</v>
      </c>
      <c r="B46" s="47" t="s">
        <v>360</v>
      </c>
      <c r="C46" s="12" t="s">
        <v>342</v>
      </c>
      <c r="D46" s="14" t="s">
        <v>23</v>
      </c>
      <c r="E46" s="12" t="s">
        <v>323</v>
      </c>
      <c r="F46" s="12" t="s">
        <v>356</v>
      </c>
      <c r="G46" s="12" t="s">
        <v>357</v>
      </c>
      <c r="H46" s="12" t="s">
        <v>361</v>
      </c>
      <c r="I46" s="12" t="s">
        <v>1326</v>
      </c>
    </row>
    <row r="47" spans="1:9" ht="42.75" x14ac:dyDescent="0.45">
      <c r="A47" s="47" t="s">
        <v>355</v>
      </c>
      <c r="B47" s="47" t="s">
        <v>364</v>
      </c>
      <c r="C47" s="12" t="s">
        <v>342</v>
      </c>
      <c r="D47" s="14" t="s">
        <v>23</v>
      </c>
      <c r="E47" s="12" t="s">
        <v>215</v>
      </c>
      <c r="F47" s="12" t="s">
        <v>356</v>
      </c>
      <c r="G47" s="12" t="s">
        <v>357</v>
      </c>
      <c r="H47" s="12" t="s">
        <v>365</v>
      </c>
      <c r="I47" s="12" t="s">
        <v>1326</v>
      </c>
    </row>
    <row r="48" spans="1:9" ht="28.5" x14ac:dyDescent="0.45">
      <c r="A48" s="47" t="s">
        <v>358</v>
      </c>
      <c r="B48" s="47" t="s">
        <v>366</v>
      </c>
      <c r="C48" s="12" t="s">
        <v>342</v>
      </c>
      <c r="D48" s="14" t="s">
        <v>23</v>
      </c>
      <c r="E48" s="12" t="s">
        <v>215</v>
      </c>
      <c r="F48" s="12" t="s">
        <v>348</v>
      </c>
      <c r="G48" s="12" t="s">
        <v>349</v>
      </c>
      <c r="H48" s="12" t="s">
        <v>367</v>
      </c>
      <c r="I48" s="12" t="s">
        <v>905</v>
      </c>
    </row>
    <row r="49" spans="1:9" s="40" customFormat="1" ht="28.5" x14ac:dyDescent="0.45">
      <c r="A49" s="47" t="s">
        <v>362</v>
      </c>
      <c r="B49" s="47" t="s">
        <v>368</v>
      </c>
      <c r="C49" s="12" t="s">
        <v>342</v>
      </c>
      <c r="D49" s="14" t="s">
        <v>23</v>
      </c>
      <c r="E49" s="12" t="s">
        <v>215</v>
      </c>
      <c r="F49" s="12" t="s">
        <v>356</v>
      </c>
      <c r="G49" s="12" t="s">
        <v>357</v>
      </c>
      <c r="H49" s="12" t="s">
        <v>369</v>
      </c>
      <c r="I49" s="12" t="s">
        <v>1326</v>
      </c>
    </row>
    <row r="50" spans="1:9" s="40" customFormat="1" ht="28.5" x14ac:dyDescent="0.45">
      <c r="A50" s="47" t="s">
        <v>370</v>
      </c>
      <c r="B50" s="47" t="s">
        <v>371</v>
      </c>
      <c r="C50" s="12" t="s">
        <v>135</v>
      </c>
      <c r="D50" s="14" t="s">
        <v>23</v>
      </c>
      <c r="E50" s="12" t="s">
        <v>215</v>
      </c>
      <c r="F50" s="12" t="s">
        <v>372</v>
      </c>
      <c r="G50" s="12" t="s">
        <v>373</v>
      </c>
      <c r="H50" s="12" t="s">
        <v>374</v>
      </c>
      <c r="I50" s="12" t="s">
        <v>1323</v>
      </c>
    </row>
    <row r="51" spans="1:9" s="40" customFormat="1" ht="42.75" x14ac:dyDescent="0.45">
      <c r="A51" s="47" t="s">
        <v>375</v>
      </c>
      <c r="B51" s="47" t="s">
        <v>376</v>
      </c>
      <c r="C51" s="12" t="s">
        <v>135</v>
      </c>
      <c r="D51" s="14" t="s">
        <v>23</v>
      </c>
      <c r="E51" s="12" t="s">
        <v>215</v>
      </c>
      <c r="F51" s="12" t="s">
        <v>372</v>
      </c>
      <c r="G51" s="12" t="s">
        <v>373</v>
      </c>
      <c r="H51" s="12" t="s">
        <v>377</v>
      </c>
      <c r="I51" s="12" t="s">
        <v>1323</v>
      </c>
    </row>
    <row r="52" spans="1:9" s="40" customFormat="1" ht="42.75" x14ac:dyDescent="0.45">
      <c r="A52" s="47" t="s">
        <v>378</v>
      </c>
      <c r="B52" s="47" t="s">
        <v>379</v>
      </c>
      <c r="C52" s="12" t="s">
        <v>135</v>
      </c>
      <c r="D52" s="14" t="s">
        <v>23</v>
      </c>
      <c r="E52" s="12" t="s">
        <v>215</v>
      </c>
      <c r="F52" s="12" t="s">
        <v>372</v>
      </c>
      <c r="G52" s="12" t="s">
        <v>373</v>
      </c>
      <c r="H52" s="12" t="s">
        <v>380</v>
      </c>
      <c r="I52" s="12" t="s">
        <v>1323</v>
      </c>
    </row>
    <row r="53" spans="1:9" ht="42.75" x14ac:dyDescent="0.45">
      <c r="A53" s="47" t="s">
        <v>383</v>
      </c>
      <c r="B53" s="47" t="s">
        <v>384</v>
      </c>
      <c r="C53" s="12" t="s">
        <v>139</v>
      </c>
      <c r="D53" s="14" t="s">
        <v>23</v>
      </c>
      <c r="E53" s="12" t="s">
        <v>215</v>
      </c>
      <c r="F53" s="12" t="s">
        <v>140</v>
      </c>
      <c r="G53" s="12" t="s">
        <v>141</v>
      </c>
      <c r="H53" s="12" t="s">
        <v>385</v>
      </c>
      <c r="I53" s="12" t="s">
        <v>1324</v>
      </c>
    </row>
    <row r="54" spans="1:9" s="40" customFormat="1" ht="28.5" x14ac:dyDescent="0.45">
      <c r="A54" s="47" t="s">
        <v>386</v>
      </c>
      <c r="B54" s="47" t="s">
        <v>387</v>
      </c>
      <c r="C54" s="12" t="s">
        <v>139</v>
      </c>
      <c r="D54" s="14" t="s">
        <v>23</v>
      </c>
      <c r="E54" s="12" t="s">
        <v>215</v>
      </c>
      <c r="F54" s="12" t="s">
        <v>140</v>
      </c>
      <c r="G54" s="12" t="s">
        <v>141</v>
      </c>
      <c r="H54" s="12" t="s">
        <v>388</v>
      </c>
      <c r="I54" s="12" t="s">
        <v>1324</v>
      </c>
    </row>
    <row r="55" spans="1:9" ht="28.5" x14ac:dyDescent="0.45">
      <c r="A55" s="47" t="s">
        <v>604</v>
      </c>
      <c r="B55" s="47" t="s">
        <v>390</v>
      </c>
      <c r="C55" s="12" t="s">
        <v>139</v>
      </c>
      <c r="D55" s="14" t="s">
        <v>23</v>
      </c>
      <c r="E55" s="12" t="s">
        <v>215</v>
      </c>
      <c r="F55" s="12" t="s">
        <v>391</v>
      </c>
      <c r="G55" s="12" t="s">
        <v>392</v>
      </c>
      <c r="H55" s="12" t="s">
        <v>393</v>
      </c>
      <c r="I55" s="12" t="s">
        <v>1324</v>
      </c>
    </row>
    <row r="56" spans="1:9" ht="42.75" x14ac:dyDescent="0.45">
      <c r="A56" s="47" t="s">
        <v>610</v>
      </c>
      <c r="B56" s="47" t="s">
        <v>395</v>
      </c>
      <c r="C56" s="12" t="s">
        <v>139</v>
      </c>
      <c r="D56" s="14" t="s">
        <v>23</v>
      </c>
      <c r="E56" s="12" t="s">
        <v>215</v>
      </c>
      <c r="F56" s="12" t="s">
        <v>140</v>
      </c>
      <c r="G56" s="12" t="s">
        <v>141</v>
      </c>
      <c r="H56" s="12" t="s">
        <v>396</v>
      </c>
      <c r="I56" s="12" t="s">
        <v>1324</v>
      </c>
    </row>
    <row r="57" spans="1:9" ht="42.75" x14ac:dyDescent="0.45">
      <c r="A57" s="47" t="s">
        <v>397</v>
      </c>
      <c r="B57" s="47" t="s">
        <v>398</v>
      </c>
      <c r="C57" s="12" t="s">
        <v>143</v>
      </c>
      <c r="D57" s="14" t="s">
        <v>23</v>
      </c>
      <c r="E57" s="12" t="s">
        <v>167</v>
      </c>
      <c r="F57" s="12" t="s">
        <v>160</v>
      </c>
      <c r="G57" s="12" t="s">
        <v>161</v>
      </c>
      <c r="H57" s="12" t="s">
        <v>399</v>
      </c>
      <c r="I57" s="12" t="s">
        <v>1323</v>
      </c>
    </row>
    <row r="58" spans="1:9" s="40" customFormat="1" ht="28.5" x14ac:dyDescent="0.45">
      <c r="A58" s="47" t="s">
        <v>400</v>
      </c>
      <c r="B58" s="47" t="s">
        <v>401</v>
      </c>
      <c r="C58" s="12" t="s">
        <v>143</v>
      </c>
      <c r="D58" s="14" t="s">
        <v>23</v>
      </c>
      <c r="E58" s="12" t="s">
        <v>167</v>
      </c>
      <c r="F58" s="12" t="s">
        <v>160</v>
      </c>
      <c r="G58" s="12" t="s">
        <v>161</v>
      </c>
      <c r="H58" s="12" t="s">
        <v>402</v>
      </c>
      <c r="I58" s="12" t="s">
        <v>1323</v>
      </c>
    </row>
    <row r="59" spans="1:9" s="40" customFormat="1" ht="28.5" x14ac:dyDescent="0.45">
      <c r="A59" s="47" t="s">
        <v>629</v>
      </c>
      <c r="B59" s="47" t="s">
        <v>405</v>
      </c>
      <c r="C59" s="12" t="s">
        <v>143</v>
      </c>
      <c r="D59" s="14" t="s">
        <v>23</v>
      </c>
      <c r="E59" s="12" t="s">
        <v>167</v>
      </c>
      <c r="F59" s="12" t="s">
        <v>406</v>
      </c>
      <c r="G59" s="12" t="s">
        <v>407</v>
      </c>
      <c r="H59" s="12" t="s">
        <v>408</v>
      </c>
      <c r="I59" s="12" t="s">
        <v>1323</v>
      </c>
    </row>
    <row r="60" spans="1:9" s="40" customFormat="1" ht="28.5" x14ac:dyDescent="0.45">
      <c r="A60" s="47" t="s">
        <v>142</v>
      </c>
      <c r="B60" s="47" t="s">
        <v>409</v>
      </c>
      <c r="C60" s="12" t="s">
        <v>143</v>
      </c>
      <c r="D60" s="14" t="s">
        <v>23</v>
      </c>
      <c r="E60" s="12" t="s">
        <v>167</v>
      </c>
      <c r="F60" s="12" t="s">
        <v>144</v>
      </c>
      <c r="G60" s="12" t="s">
        <v>145</v>
      </c>
      <c r="H60" s="12" t="s">
        <v>410</v>
      </c>
      <c r="I60" s="12" t="s">
        <v>1326</v>
      </c>
    </row>
    <row r="61" spans="1:9" s="40" customFormat="1" ht="28.5" x14ac:dyDescent="0.45">
      <c r="A61" s="47" t="s">
        <v>411</v>
      </c>
      <c r="B61" s="47" t="s">
        <v>412</v>
      </c>
      <c r="C61" s="12" t="s">
        <v>413</v>
      </c>
      <c r="D61" s="14" t="s">
        <v>23</v>
      </c>
      <c r="E61" s="12" t="s">
        <v>215</v>
      </c>
      <c r="F61" s="12" t="s">
        <v>296</v>
      </c>
      <c r="G61" s="12" t="s">
        <v>297</v>
      </c>
      <c r="H61" s="12" t="s">
        <v>414</v>
      </c>
      <c r="I61" s="12" t="s">
        <v>1324</v>
      </c>
    </row>
    <row r="62" spans="1:9" s="40" customFormat="1" ht="28.5" x14ac:dyDescent="0.45">
      <c r="A62" s="47" t="s">
        <v>415</v>
      </c>
      <c r="B62" s="47" t="s">
        <v>416</v>
      </c>
      <c r="C62" s="12" t="s">
        <v>413</v>
      </c>
      <c r="D62" s="14" t="s">
        <v>23</v>
      </c>
      <c r="E62" s="12" t="s">
        <v>215</v>
      </c>
      <c r="F62" s="12" t="s">
        <v>296</v>
      </c>
      <c r="G62" s="12" t="s">
        <v>297</v>
      </c>
      <c r="H62" s="12" t="s">
        <v>417</v>
      </c>
      <c r="I62" s="12" t="s">
        <v>1324</v>
      </c>
    </row>
    <row r="63" spans="1:9" s="40" customFormat="1" ht="28.5" x14ac:dyDescent="0.45">
      <c r="A63" s="47" t="s">
        <v>418</v>
      </c>
      <c r="B63" s="47" t="s">
        <v>422</v>
      </c>
      <c r="C63" s="12" t="s">
        <v>413</v>
      </c>
      <c r="D63" s="14" t="s">
        <v>23</v>
      </c>
      <c r="E63" s="12" t="s">
        <v>215</v>
      </c>
      <c r="F63" s="12" t="s">
        <v>423</v>
      </c>
      <c r="G63" s="12" t="s">
        <v>424</v>
      </c>
      <c r="H63" s="12" t="s">
        <v>425</v>
      </c>
      <c r="I63" s="12" t="s">
        <v>1323</v>
      </c>
    </row>
    <row r="64" spans="1:9" ht="28.5" x14ac:dyDescent="0.45">
      <c r="A64" s="47" t="s">
        <v>649</v>
      </c>
      <c r="B64" s="47" t="s">
        <v>427</v>
      </c>
      <c r="C64" s="12" t="s">
        <v>413</v>
      </c>
      <c r="D64" s="14" t="s">
        <v>23</v>
      </c>
      <c r="E64" s="12" t="s">
        <v>215</v>
      </c>
      <c r="F64" s="12" t="s">
        <v>343</v>
      </c>
      <c r="G64" s="12" t="s">
        <v>344</v>
      </c>
      <c r="H64" s="12" t="s">
        <v>428</v>
      </c>
      <c r="I64" s="12" t="s">
        <v>1324</v>
      </c>
    </row>
    <row r="65" spans="1:9" s="40" customFormat="1" ht="28.5" x14ac:dyDescent="0.45">
      <c r="A65" s="47" t="s">
        <v>429</v>
      </c>
      <c r="B65" s="47" t="s">
        <v>430</v>
      </c>
      <c r="C65" s="12" t="s">
        <v>431</v>
      </c>
      <c r="D65" s="14" t="s">
        <v>23</v>
      </c>
      <c r="E65" s="12" t="s">
        <v>215</v>
      </c>
      <c r="F65" s="12" t="s">
        <v>432</v>
      </c>
      <c r="G65" s="12" t="s">
        <v>433</v>
      </c>
      <c r="H65" s="12" t="s">
        <v>434</v>
      </c>
      <c r="I65" s="12" t="s">
        <v>1326</v>
      </c>
    </row>
    <row r="66" spans="1:9" s="40" customFormat="1" ht="42.75" x14ac:dyDescent="0.45">
      <c r="A66" s="47" t="s">
        <v>435</v>
      </c>
      <c r="B66" s="47" t="s">
        <v>436</v>
      </c>
      <c r="C66" s="12" t="s">
        <v>431</v>
      </c>
      <c r="D66" s="14" t="s">
        <v>23</v>
      </c>
      <c r="E66" s="12" t="s">
        <v>437</v>
      </c>
      <c r="F66" s="12" t="s">
        <v>438</v>
      </c>
      <c r="G66" s="12" t="s">
        <v>439</v>
      </c>
      <c r="H66" s="12" t="s">
        <v>440</v>
      </c>
      <c r="I66" s="12" t="s">
        <v>1326</v>
      </c>
    </row>
    <row r="67" spans="1:9" ht="28.5" x14ac:dyDescent="0.45">
      <c r="A67" s="47" t="s">
        <v>441</v>
      </c>
      <c r="B67" s="47" t="s">
        <v>442</v>
      </c>
      <c r="C67" s="12" t="s">
        <v>431</v>
      </c>
      <c r="D67" s="14" t="s">
        <v>23</v>
      </c>
      <c r="E67" s="12" t="s">
        <v>437</v>
      </c>
      <c r="F67" s="12" t="s">
        <v>438</v>
      </c>
      <c r="G67" s="12" t="s">
        <v>439</v>
      </c>
      <c r="H67" s="12" t="s">
        <v>443</v>
      </c>
      <c r="I67" s="12" t="s">
        <v>1326</v>
      </c>
    </row>
    <row r="68" spans="1:9" ht="28.5" x14ac:dyDescent="0.45">
      <c r="A68" s="47" t="s">
        <v>444</v>
      </c>
      <c r="B68" s="47" t="s">
        <v>445</v>
      </c>
      <c r="C68" s="12" t="s">
        <v>431</v>
      </c>
      <c r="D68" s="14" t="s">
        <v>23</v>
      </c>
      <c r="E68" s="12" t="s">
        <v>167</v>
      </c>
      <c r="F68" s="12" t="s">
        <v>446</v>
      </c>
      <c r="G68" s="12" t="s">
        <v>447</v>
      </c>
      <c r="H68" s="12" t="s">
        <v>448</v>
      </c>
      <c r="I68" s="12" t="s">
        <v>905</v>
      </c>
    </row>
    <row r="69" spans="1:9" s="40" customFormat="1" ht="28.5" x14ac:dyDescent="0.45">
      <c r="A69" s="47" t="s">
        <v>449</v>
      </c>
      <c r="B69" s="47" t="s">
        <v>450</v>
      </c>
      <c r="C69" s="12" t="s">
        <v>431</v>
      </c>
      <c r="D69" s="14" t="s">
        <v>23</v>
      </c>
      <c r="E69" s="12" t="s">
        <v>215</v>
      </c>
      <c r="F69" s="12" t="s">
        <v>446</v>
      </c>
      <c r="G69" s="12" t="s">
        <v>447</v>
      </c>
      <c r="H69" s="12" t="s">
        <v>451</v>
      </c>
      <c r="I69" s="12" t="s">
        <v>905</v>
      </c>
    </row>
    <row r="70" spans="1:9" s="40" customFormat="1" ht="42.75" x14ac:dyDescent="0.45">
      <c r="A70" s="47" t="s">
        <v>452</v>
      </c>
      <c r="B70" s="47" t="s">
        <v>453</v>
      </c>
      <c r="C70" s="12" t="s">
        <v>431</v>
      </c>
      <c r="D70" s="14" t="s">
        <v>23</v>
      </c>
      <c r="E70" s="12" t="s">
        <v>437</v>
      </c>
      <c r="F70" s="12" t="s">
        <v>454</v>
      </c>
      <c r="G70" s="12" t="s">
        <v>455</v>
      </c>
      <c r="H70" s="12" t="s">
        <v>456</v>
      </c>
      <c r="I70" s="12" t="s">
        <v>1323</v>
      </c>
    </row>
    <row r="71" spans="1:9" s="40" customFormat="1" ht="28.5" x14ac:dyDescent="0.45">
      <c r="A71" s="47" t="s">
        <v>457</v>
      </c>
      <c r="B71" s="47" t="s">
        <v>458</v>
      </c>
      <c r="C71" s="12" t="s">
        <v>431</v>
      </c>
      <c r="D71" s="14" t="s">
        <v>23</v>
      </c>
      <c r="E71" s="12" t="s">
        <v>437</v>
      </c>
      <c r="F71" s="12" t="s">
        <v>432</v>
      </c>
      <c r="G71" s="12" t="s">
        <v>433</v>
      </c>
      <c r="H71" s="12" t="s">
        <v>459</v>
      </c>
      <c r="I71" s="12" t="s">
        <v>1326</v>
      </c>
    </row>
    <row r="72" spans="1:9" ht="28.5" x14ac:dyDescent="0.45">
      <c r="A72" s="47" t="s">
        <v>460</v>
      </c>
      <c r="B72" s="47" t="s">
        <v>461</v>
      </c>
      <c r="C72" s="12" t="s">
        <v>431</v>
      </c>
      <c r="D72" s="14" t="s">
        <v>23</v>
      </c>
      <c r="E72" s="12" t="s">
        <v>437</v>
      </c>
      <c r="F72" s="12" t="s">
        <v>454</v>
      </c>
      <c r="G72" s="12" t="s">
        <v>455</v>
      </c>
      <c r="H72" s="12" t="s">
        <v>462</v>
      </c>
      <c r="I72" s="12" t="s">
        <v>1323</v>
      </c>
    </row>
    <row r="73" spans="1:9" ht="28.5" x14ac:dyDescent="0.45">
      <c r="A73" s="47" t="s">
        <v>463</v>
      </c>
      <c r="B73" s="47" t="s">
        <v>464</v>
      </c>
      <c r="C73" s="12" t="s">
        <v>431</v>
      </c>
      <c r="D73" s="14" t="s">
        <v>23</v>
      </c>
      <c r="E73" s="12" t="s">
        <v>437</v>
      </c>
      <c r="F73" s="12" t="s">
        <v>438</v>
      </c>
      <c r="G73" s="12" t="s">
        <v>439</v>
      </c>
      <c r="H73" s="12" t="s">
        <v>465</v>
      </c>
      <c r="I73" s="12" t="s">
        <v>1326</v>
      </c>
    </row>
    <row r="74" spans="1:9" s="40" customFormat="1" ht="42.75" x14ac:dyDescent="0.45">
      <c r="A74" s="47" t="s">
        <v>466</v>
      </c>
      <c r="B74" s="47" t="s">
        <v>467</v>
      </c>
      <c r="C74" s="12" t="s">
        <v>431</v>
      </c>
      <c r="D74" s="14" t="s">
        <v>23</v>
      </c>
      <c r="E74" s="12" t="s">
        <v>1340</v>
      </c>
      <c r="F74" s="12" t="s">
        <v>438</v>
      </c>
      <c r="G74" s="12" t="s">
        <v>439</v>
      </c>
      <c r="H74" s="12" t="s">
        <v>468</v>
      </c>
      <c r="I74" s="12" t="s">
        <v>1326</v>
      </c>
    </row>
    <row r="75" spans="1:9" ht="42.75" x14ac:dyDescent="0.45">
      <c r="A75" s="47" t="s">
        <v>181</v>
      </c>
      <c r="B75" s="47" t="s">
        <v>470</v>
      </c>
      <c r="C75" s="12" t="s">
        <v>166</v>
      </c>
      <c r="D75" s="12" t="s">
        <v>58</v>
      </c>
      <c r="E75" s="12" t="s">
        <v>187</v>
      </c>
      <c r="F75" s="12" t="s">
        <v>188</v>
      </c>
      <c r="G75" s="12" t="s">
        <v>189</v>
      </c>
      <c r="H75" s="12" t="s">
        <v>471</v>
      </c>
      <c r="I75" s="12" t="s">
        <v>905</v>
      </c>
    </row>
    <row r="76" spans="1:9" s="40" customFormat="1" ht="28.5" x14ac:dyDescent="0.45">
      <c r="A76" s="47" t="s">
        <v>182</v>
      </c>
      <c r="B76" s="47" t="s">
        <v>473</v>
      </c>
      <c r="C76" s="12" t="s">
        <v>166</v>
      </c>
      <c r="D76" s="12" t="s">
        <v>58</v>
      </c>
      <c r="E76" s="12" t="s">
        <v>187</v>
      </c>
      <c r="F76" s="12" t="s">
        <v>188</v>
      </c>
      <c r="G76" s="12" t="s">
        <v>189</v>
      </c>
      <c r="H76" s="12" t="s">
        <v>474</v>
      </c>
      <c r="I76" s="12" t="s">
        <v>905</v>
      </c>
    </row>
    <row r="77" spans="1:9" s="40" customFormat="1" ht="42.75" x14ac:dyDescent="0.45">
      <c r="A77" s="47" t="s">
        <v>191</v>
      </c>
      <c r="B77" s="47" t="s">
        <v>475</v>
      </c>
      <c r="C77" s="12" t="s">
        <v>166</v>
      </c>
      <c r="D77" s="12" t="s">
        <v>58</v>
      </c>
      <c r="E77" s="12" t="s">
        <v>184</v>
      </c>
      <c r="F77" s="12" t="s">
        <v>193</v>
      </c>
      <c r="G77" s="12" t="s">
        <v>194</v>
      </c>
      <c r="H77" s="12" t="s">
        <v>476</v>
      </c>
      <c r="I77" s="12" t="s">
        <v>1324</v>
      </c>
    </row>
    <row r="78" spans="1:9" ht="28.5" x14ac:dyDescent="0.45">
      <c r="A78" s="47" t="s">
        <v>469</v>
      </c>
      <c r="B78" s="47" t="s">
        <v>477</v>
      </c>
      <c r="C78" s="12" t="s">
        <v>166</v>
      </c>
      <c r="D78" s="12" t="s">
        <v>58</v>
      </c>
      <c r="E78" s="12" t="s">
        <v>167</v>
      </c>
      <c r="F78" s="12" t="s">
        <v>179</v>
      </c>
      <c r="G78" s="12" t="s">
        <v>180</v>
      </c>
      <c r="H78" s="12" t="s">
        <v>478</v>
      </c>
      <c r="I78" s="12" t="s">
        <v>1323</v>
      </c>
    </row>
    <row r="79" spans="1:9" s="40" customFormat="1" ht="28.5" x14ac:dyDescent="0.45">
      <c r="A79" s="47" t="s">
        <v>669</v>
      </c>
      <c r="B79" s="47" t="s">
        <v>479</v>
      </c>
      <c r="C79" s="12" t="s">
        <v>166</v>
      </c>
      <c r="D79" s="12" t="s">
        <v>58</v>
      </c>
      <c r="E79" s="12" t="s">
        <v>167</v>
      </c>
      <c r="F79" s="12" t="s">
        <v>197</v>
      </c>
      <c r="G79" s="12" t="s">
        <v>198</v>
      </c>
      <c r="H79" s="12" t="s">
        <v>480</v>
      </c>
      <c r="I79" s="12" t="s">
        <v>1323</v>
      </c>
    </row>
    <row r="80" spans="1:9" ht="28.5" x14ac:dyDescent="0.45">
      <c r="A80" s="47" t="s">
        <v>481</v>
      </c>
      <c r="B80" s="47" t="s">
        <v>482</v>
      </c>
      <c r="C80" s="12" t="s">
        <v>117</v>
      </c>
      <c r="D80" s="12" t="s">
        <v>58</v>
      </c>
      <c r="E80" s="12" t="s">
        <v>167</v>
      </c>
      <c r="F80" s="12" t="s">
        <v>202</v>
      </c>
      <c r="G80" s="12" t="s">
        <v>203</v>
      </c>
      <c r="H80" s="12" t="s">
        <v>483</v>
      </c>
      <c r="I80" s="12" t="s">
        <v>905</v>
      </c>
    </row>
    <row r="81" spans="1:9" ht="28.5" x14ac:dyDescent="0.45">
      <c r="A81" s="47" t="s">
        <v>484</v>
      </c>
      <c r="B81" s="47" t="s">
        <v>485</v>
      </c>
      <c r="C81" s="12" t="s">
        <v>117</v>
      </c>
      <c r="D81" s="12" t="s">
        <v>58</v>
      </c>
      <c r="E81" s="12" t="s">
        <v>167</v>
      </c>
      <c r="F81" s="12" t="s">
        <v>207</v>
      </c>
      <c r="G81" s="12" t="s">
        <v>208</v>
      </c>
      <c r="H81" s="12" t="s">
        <v>486</v>
      </c>
      <c r="I81" s="12" t="s">
        <v>1323</v>
      </c>
    </row>
    <row r="82" spans="1:9" s="40" customFormat="1" ht="28.5" x14ac:dyDescent="0.45">
      <c r="A82" s="47" t="s">
        <v>487</v>
      </c>
      <c r="B82" s="47" t="s">
        <v>488</v>
      </c>
      <c r="C82" s="12" t="s">
        <v>117</v>
      </c>
      <c r="D82" s="12" t="s">
        <v>58</v>
      </c>
      <c r="E82" s="12" t="s">
        <v>167</v>
      </c>
      <c r="F82" s="12" t="s">
        <v>219</v>
      </c>
      <c r="G82" s="12" t="s">
        <v>220</v>
      </c>
      <c r="H82" s="12" t="s">
        <v>489</v>
      </c>
      <c r="I82" s="12" t="s">
        <v>1323</v>
      </c>
    </row>
    <row r="83" spans="1:9" s="40" customFormat="1" ht="28.5" x14ac:dyDescent="0.45">
      <c r="A83" s="47" t="s">
        <v>490</v>
      </c>
      <c r="B83" s="47" t="s">
        <v>491</v>
      </c>
      <c r="C83" s="12" t="s">
        <v>117</v>
      </c>
      <c r="D83" s="12" t="s">
        <v>58</v>
      </c>
      <c r="E83" s="12" t="s">
        <v>167</v>
      </c>
      <c r="F83" s="12" t="s">
        <v>219</v>
      </c>
      <c r="G83" s="12" t="s">
        <v>220</v>
      </c>
      <c r="H83" s="12" t="s">
        <v>492</v>
      </c>
      <c r="I83" s="12" t="s">
        <v>1323</v>
      </c>
    </row>
    <row r="84" spans="1:9" ht="28.5" x14ac:dyDescent="0.45">
      <c r="A84" s="47" t="s">
        <v>493</v>
      </c>
      <c r="B84" s="47" t="s">
        <v>494</v>
      </c>
      <c r="C84" s="12" t="s">
        <v>117</v>
      </c>
      <c r="D84" s="12" t="s">
        <v>58</v>
      </c>
      <c r="E84" s="12" t="s">
        <v>167</v>
      </c>
      <c r="F84" s="12" t="s">
        <v>219</v>
      </c>
      <c r="G84" s="12" t="s">
        <v>220</v>
      </c>
      <c r="H84" s="12" t="s">
        <v>495</v>
      </c>
      <c r="I84" s="12" t="s">
        <v>1323</v>
      </c>
    </row>
    <row r="85" spans="1:9" ht="42.75" x14ac:dyDescent="0.45">
      <c r="A85" s="47" t="s">
        <v>496</v>
      </c>
      <c r="B85" s="47" t="s">
        <v>497</v>
      </c>
      <c r="C85" s="12" t="s">
        <v>117</v>
      </c>
      <c r="D85" s="12" t="s">
        <v>58</v>
      </c>
      <c r="E85" s="12" t="s">
        <v>167</v>
      </c>
      <c r="F85" s="12" t="s">
        <v>118</v>
      </c>
      <c r="G85" s="12" t="s">
        <v>119</v>
      </c>
      <c r="H85" s="12" t="s">
        <v>498</v>
      </c>
      <c r="I85" s="12" t="s">
        <v>905</v>
      </c>
    </row>
    <row r="86" spans="1:9" ht="28.5" x14ac:dyDescent="0.45">
      <c r="A86" s="47" t="s">
        <v>499</v>
      </c>
      <c r="B86" s="47" t="s">
        <v>500</v>
      </c>
      <c r="C86" s="12" t="s">
        <v>117</v>
      </c>
      <c r="D86" s="12" t="s">
        <v>58</v>
      </c>
      <c r="E86" s="12" t="s">
        <v>167</v>
      </c>
      <c r="F86" s="12" t="s">
        <v>118</v>
      </c>
      <c r="G86" s="12" t="s">
        <v>119</v>
      </c>
      <c r="H86" s="12" t="s">
        <v>501</v>
      </c>
      <c r="I86" s="12" t="s">
        <v>905</v>
      </c>
    </row>
    <row r="87" spans="1:9" ht="28.5" x14ac:dyDescent="0.45">
      <c r="A87" s="47" t="s">
        <v>502</v>
      </c>
      <c r="B87" s="47" t="s">
        <v>503</v>
      </c>
      <c r="C87" s="12" t="s">
        <v>117</v>
      </c>
      <c r="D87" s="12" t="s">
        <v>58</v>
      </c>
      <c r="E87" s="12" t="s">
        <v>167</v>
      </c>
      <c r="F87" s="12" t="s">
        <v>118</v>
      </c>
      <c r="G87" s="12" t="s">
        <v>119</v>
      </c>
      <c r="H87" s="12" t="s">
        <v>504</v>
      </c>
      <c r="I87" s="12" t="s">
        <v>905</v>
      </c>
    </row>
    <row r="88" spans="1:9" s="40" customFormat="1" ht="28.5" x14ac:dyDescent="0.45">
      <c r="A88" s="47" t="s">
        <v>505</v>
      </c>
      <c r="B88" s="47" t="s">
        <v>506</v>
      </c>
      <c r="C88" s="12" t="s">
        <v>239</v>
      </c>
      <c r="D88" s="12" t="s">
        <v>58</v>
      </c>
      <c r="E88" s="12" t="s">
        <v>167</v>
      </c>
      <c r="F88" s="12" t="s">
        <v>240</v>
      </c>
      <c r="G88" s="12" t="s">
        <v>241</v>
      </c>
      <c r="H88" s="12" t="s">
        <v>507</v>
      </c>
      <c r="I88" s="12" t="s">
        <v>1323</v>
      </c>
    </row>
    <row r="89" spans="1:9" s="40" customFormat="1" ht="28.5" x14ac:dyDescent="0.45">
      <c r="A89" s="47" t="s">
        <v>508</v>
      </c>
      <c r="B89" s="47" t="s">
        <v>509</v>
      </c>
      <c r="C89" s="12" t="s">
        <v>239</v>
      </c>
      <c r="D89" s="12" t="s">
        <v>58</v>
      </c>
      <c r="E89" s="12" t="s">
        <v>167</v>
      </c>
      <c r="F89" s="12" t="s">
        <v>240</v>
      </c>
      <c r="G89" s="12" t="s">
        <v>241</v>
      </c>
      <c r="H89" s="12" t="s">
        <v>510</v>
      </c>
      <c r="I89" s="12" t="s">
        <v>1323</v>
      </c>
    </row>
    <row r="90" spans="1:9" ht="42.75" x14ac:dyDescent="0.45">
      <c r="A90" s="47" t="s">
        <v>511</v>
      </c>
      <c r="B90" s="47" t="s">
        <v>512</v>
      </c>
      <c r="C90" s="12" t="s">
        <v>239</v>
      </c>
      <c r="D90" s="12" t="s">
        <v>58</v>
      </c>
      <c r="E90" s="12" t="s">
        <v>167</v>
      </c>
      <c r="F90" s="12" t="s">
        <v>254</v>
      </c>
      <c r="G90" s="12" t="s">
        <v>255</v>
      </c>
      <c r="H90" s="12" t="s">
        <v>513</v>
      </c>
      <c r="I90" s="12" t="s">
        <v>1324</v>
      </c>
    </row>
    <row r="91" spans="1:9" ht="28.5" x14ac:dyDescent="0.45">
      <c r="A91" s="47" t="s">
        <v>514</v>
      </c>
      <c r="B91" s="47" t="s">
        <v>515</v>
      </c>
      <c r="C91" s="12" t="s">
        <v>239</v>
      </c>
      <c r="D91" s="12" t="s">
        <v>58</v>
      </c>
      <c r="E91" s="12" t="s">
        <v>167</v>
      </c>
      <c r="F91" s="12" t="s">
        <v>254</v>
      </c>
      <c r="G91" s="12" t="s">
        <v>255</v>
      </c>
      <c r="H91" s="12" t="s">
        <v>516</v>
      </c>
      <c r="I91" s="12" t="s">
        <v>1324</v>
      </c>
    </row>
    <row r="92" spans="1:9" ht="28.5" x14ac:dyDescent="0.45">
      <c r="A92" s="47" t="s">
        <v>257</v>
      </c>
      <c r="B92" s="47" t="s">
        <v>518</v>
      </c>
      <c r="C92" s="12" t="s">
        <v>239</v>
      </c>
      <c r="D92" s="12" t="s">
        <v>58</v>
      </c>
      <c r="E92" s="12" t="s">
        <v>167</v>
      </c>
      <c r="F92" s="12" t="s">
        <v>254</v>
      </c>
      <c r="G92" s="12" t="s">
        <v>255</v>
      </c>
      <c r="H92" s="12" t="s">
        <v>519</v>
      </c>
      <c r="I92" s="12" t="s">
        <v>1324</v>
      </c>
    </row>
    <row r="93" spans="1:9" ht="28.5" x14ac:dyDescent="0.45">
      <c r="A93" s="47" t="s">
        <v>517</v>
      </c>
      <c r="B93" s="47" t="s">
        <v>521</v>
      </c>
      <c r="C93" s="12" t="s">
        <v>239</v>
      </c>
      <c r="D93" s="12" t="s">
        <v>58</v>
      </c>
      <c r="E93" s="12" t="s">
        <v>522</v>
      </c>
      <c r="F93" s="12" t="s">
        <v>254</v>
      </c>
      <c r="G93" s="12" t="s">
        <v>255</v>
      </c>
      <c r="H93" s="12" t="s">
        <v>523</v>
      </c>
      <c r="I93" s="12" t="s">
        <v>1324</v>
      </c>
    </row>
    <row r="94" spans="1:9" ht="28.5" x14ac:dyDescent="0.45">
      <c r="A94" s="47" t="s">
        <v>520</v>
      </c>
      <c r="B94" s="47" t="s">
        <v>525</v>
      </c>
      <c r="C94" s="12" t="s">
        <v>239</v>
      </c>
      <c r="D94" s="12" t="s">
        <v>58</v>
      </c>
      <c r="E94" s="12" t="s">
        <v>258</v>
      </c>
      <c r="F94" s="12" t="s">
        <v>254</v>
      </c>
      <c r="G94" s="12" t="s">
        <v>255</v>
      </c>
      <c r="H94" s="12" t="s">
        <v>526</v>
      </c>
      <c r="I94" s="12" t="s">
        <v>1324</v>
      </c>
    </row>
    <row r="95" spans="1:9" ht="28.5" x14ac:dyDescent="0.45">
      <c r="A95" s="47" t="s">
        <v>524</v>
      </c>
      <c r="B95" s="47" t="s">
        <v>528</v>
      </c>
      <c r="C95" s="12" t="s">
        <v>239</v>
      </c>
      <c r="D95" s="12" t="s">
        <v>58</v>
      </c>
      <c r="E95" s="12" t="s">
        <v>167</v>
      </c>
      <c r="F95" s="12" t="s">
        <v>529</v>
      </c>
      <c r="G95" s="12" t="s">
        <v>530</v>
      </c>
      <c r="H95" s="12" t="s">
        <v>531</v>
      </c>
      <c r="I95" s="12" t="s">
        <v>1323</v>
      </c>
    </row>
    <row r="96" spans="1:9" s="40" customFormat="1" ht="42.75" x14ac:dyDescent="0.45">
      <c r="A96" s="47" t="s">
        <v>527</v>
      </c>
      <c r="B96" s="47" t="s">
        <v>532</v>
      </c>
      <c r="C96" s="12" t="s">
        <v>239</v>
      </c>
      <c r="D96" s="12" t="s">
        <v>58</v>
      </c>
      <c r="E96" s="12" t="s">
        <v>167</v>
      </c>
      <c r="F96" s="12" t="s">
        <v>529</v>
      </c>
      <c r="G96" s="12" t="s">
        <v>530</v>
      </c>
      <c r="H96" s="12" t="s">
        <v>533</v>
      </c>
      <c r="I96" s="12" t="s">
        <v>1323</v>
      </c>
    </row>
    <row r="97" spans="1:9" ht="42.75" x14ac:dyDescent="0.45">
      <c r="A97" s="47" t="s">
        <v>264</v>
      </c>
      <c r="B97" s="47" t="s">
        <v>535</v>
      </c>
      <c r="C97" s="12" t="s">
        <v>260</v>
      </c>
      <c r="D97" s="12" t="s">
        <v>58</v>
      </c>
      <c r="E97" s="12" t="s">
        <v>261</v>
      </c>
      <c r="F97" s="12" t="s">
        <v>262</v>
      </c>
      <c r="G97" s="12" t="s">
        <v>263</v>
      </c>
      <c r="H97" s="12" t="s">
        <v>536</v>
      </c>
      <c r="I97" s="12" t="s">
        <v>905</v>
      </c>
    </row>
    <row r="98" spans="1:9" ht="28.5" x14ac:dyDescent="0.45">
      <c r="A98" s="47" t="s">
        <v>267</v>
      </c>
      <c r="B98" s="47" t="s">
        <v>538</v>
      </c>
      <c r="C98" s="12" t="s">
        <v>260</v>
      </c>
      <c r="D98" s="12" t="s">
        <v>58</v>
      </c>
      <c r="E98" s="12" t="s">
        <v>32</v>
      </c>
      <c r="F98" s="12" t="s">
        <v>262</v>
      </c>
      <c r="G98" s="12" t="s">
        <v>263</v>
      </c>
      <c r="H98" s="12" t="s">
        <v>539</v>
      </c>
      <c r="I98" s="12" t="s">
        <v>905</v>
      </c>
    </row>
    <row r="99" spans="1:9" ht="28.5" x14ac:dyDescent="0.45">
      <c r="A99" s="47" t="s">
        <v>534</v>
      </c>
      <c r="B99" s="47" t="s">
        <v>541</v>
      </c>
      <c r="C99" s="12" t="s">
        <v>260</v>
      </c>
      <c r="D99" s="12" t="s">
        <v>58</v>
      </c>
      <c r="E99" s="12" t="s">
        <v>542</v>
      </c>
      <c r="F99" s="12" t="s">
        <v>271</v>
      </c>
      <c r="G99" s="12" t="s">
        <v>272</v>
      </c>
      <c r="H99" s="12" t="s">
        <v>543</v>
      </c>
      <c r="I99" s="12" t="s">
        <v>905</v>
      </c>
    </row>
    <row r="100" spans="1:9" ht="28.5" x14ac:dyDescent="0.45">
      <c r="A100" s="47" t="s">
        <v>540</v>
      </c>
      <c r="B100" s="47" t="s">
        <v>545</v>
      </c>
      <c r="C100" s="12" t="s">
        <v>260</v>
      </c>
      <c r="D100" s="12" t="s">
        <v>58</v>
      </c>
      <c r="E100" s="12" t="s">
        <v>270</v>
      </c>
      <c r="F100" s="12" t="s">
        <v>280</v>
      </c>
      <c r="G100" s="12" t="s">
        <v>281</v>
      </c>
      <c r="H100" s="12" t="s">
        <v>546</v>
      </c>
      <c r="I100" s="12" t="s">
        <v>905</v>
      </c>
    </row>
    <row r="101" spans="1:9" s="41" customFormat="1" ht="28.5" x14ac:dyDescent="0.45">
      <c r="A101" s="47" t="s">
        <v>276</v>
      </c>
      <c r="B101" s="47" t="s">
        <v>547</v>
      </c>
      <c r="C101" s="12" t="s">
        <v>260</v>
      </c>
      <c r="D101" s="12" t="s">
        <v>58</v>
      </c>
      <c r="E101" s="12" t="s">
        <v>548</v>
      </c>
      <c r="F101" s="12" t="s">
        <v>280</v>
      </c>
      <c r="G101" s="12" t="s">
        <v>281</v>
      </c>
      <c r="H101" s="12" t="s">
        <v>549</v>
      </c>
      <c r="I101" s="12" t="s">
        <v>905</v>
      </c>
    </row>
    <row r="102" spans="1:9" ht="28.5" x14ac:dyDescent="0.45">
      <c r="A102" s="47" t="s">
        <v>277</v>
      </c>
      <c r="B102" s="47" t="s">
        <v>550</v>
      </c>
      <c r="C102" s="12" t="s">
        <v>260</v>
      </c>
      <c r="D102" s="12" t="s">
        <v>58</v>
      </c>
      <c r="E102" s="12" t="s">
        <v>258</v>
      </c>
      <c r="F102" s="12" t="s">
        <v>280</v>
      </c>
      <c r="G102" s="12" t="s">
        <v>281</v>
      </c>
      <c r="H102" s="12" t="s">
        <v>551</v>
      </c>
      <c r="I102" s="12" t="s">
        <v>905</v>
      </c>
    </row>
    <row r="103" spans="1:9" ht="28.5" x14ac:dyDescent="0.45">
      <c r="A103" s="47" t="s">
        <v>302</v>
      </c>
      <c r="B103" s="47" t="s">
        <v>553</v>
      </c>
      <c r="C103" s="12" t="s">
        <v>290</v>
      </c>
      <c r="D103" s="12" t="s">
        <v>58</v>
      </c>
      <c r="E103" s="12" t="s">
        <v>258</v>
      </c>
      <c r="F103" s="12" t="s">
        <v>300</v>
      </c>
      <c r="G103" s="12" t="s">
        <v>301</v>
      </c>
      <c r="H103" s="12" t="s">
        <v>554</v>
      </c>
      <c r="I103" s="12" t="s">
        <v>905</v>
      </c>
    </row>
    <row r="104" spans="1:9" ht="42.75" x14ac:dyDescent="0.45">
      <c r="A104" s="47" t="s">
        <v>304</v>
      </c>
      <c r="B104" s="47" t="s">
        <v>555</v>
      </c>
      <c r="C104" s="12" t="s">
        <v>290</v>
      </c>
      <c r="D104" s="12" t="s">
        <v>58</v>
      </c>
      <c r="E104" s="12" t="s">
        <v>258</v>
      </c>
      <c r="F104" s="12" t="s">
        <v>311</v>
      </c>
      <c r="G104" s="12" t="s">
        <v>312</v>
      </c>
      <c r="H104" s="12" t="s">
        <v>556</v>
      </c>
      <c r="I104" s="12" t="s">
        <v>1324</v>
      </c>
    </row>
    <row r="105" spans="1:9" ht="28.5" x14ac:dyDescent="0.45">
      <c r="A105" s="47" t="s">
        <v>305</v>
      </c>
      <c r="B105" s="47" t="s">
        <v>557</v>
      </c>
      <c r="C105" s="12" t="s">
        <v>290</v>
      </c>
      <c r="D105" s="12" t="s">
        <v>58</v>
      </c>
      <c r="E105" s="12" t="s">
        <v>258</v>
      </c>
      <c r="F105" s="12" t="s">
        <v>311</v>
      </c>
      <c r="G105" s="12" t="s">
        <v>312</v>
      </c>
      <c r="H105" s="12" t="s">
        <v>558</v>
      </c>
      <c r="I105" s="12" t="s">
        <v>1324</v>
      </c>
    </row>
    <row r="106" spans="1:9" ht="28.5" x14ac:dyDescent="0.45">
      <c r="A106" s="47" t="s">
        <v>309</v>
      </c>
      <c r="B106" s="47" t="s">
        <v>559</v>
      </c>
      <c r="C106" s="12" t="s">
        <v>290</v>
      </c>
      <c r="D106" s="12" t="s">
        <v>58</v>
      </c>
      <c r="E106" s="12" t="s">
        <v>560</v>
      </c>
      <c r="F106" s="12" t="s">
        <v>318</v>
      </c>
      <c r="G106" s="12" t="s">
        <v>319</v>
      </c>
      <c r="H106" s="12" t="s">
        <v>561</v>
      </c>
      <c r="I106" s="12" t="s">
        <v>905</v>
      </c>
    </row>
    <row r="107" spans="1:9" ht="28.5" x14ac:dyDescent="0.45">
      <c r="A107" s="47" t="s">
        <v>322</v>
      </c>
      <c r="B107" s="47" t="s">
        <v>562</v>
      </c>
      <c r="C107" s="12" t="s">
        <v>123</v>
      </c>
      <c r="D107" s="12" t="s">
        <v>58</v>
      </c>
      <c r="E107" s="12" t="s">
        <v>323</v>
      </c>
      <c r="F107" s="12" t="s">
        <v>129</v>
      </c>
      <c r="G107" s="12" t="s">
        <v>130</v>
      </c>
      <c r="H107" s="12" t="s">
        <v>563</v>
      </c>
      <c r="I107" s="12" t="s">
        <v>1323</v>
      </c>
    </row>
    <row r="108" spans="1:9" ht="28.5" x14ac:dyDescent="0.45">
      <c r="A108" s="47" t="s">
        <v>324</v>
      </c>
      <c r="B108" s="47" t="s">
        <v>564</v>
      </c>
      <c r="C108" s="12" t="s">
        <v>123</v>
      </c>
      <c r="D108" s="12" t="s">
        <v>58</v>
      </c>
      <c r="E108" s="12" t="s">
        <v>215</v>
      </c>
      <c r="F108" s="12" t="s">
        <v>132</v>
      </c>
      <c r="G108" s="12" t="s">
        <v>133</v>
      </c>
      <c r="H108" s="12" t="s">
        <v>565</v>
      </c>
      <c r="I108" s="12" t="s">
        <v>1323</v>
      </c>
    </row>
    <row r="109" spans="1:9" ht="28.5" x14ac:dyDescent="0.45">
      <c r="A109" s="47" t="s">
        <v>325</v>
      </c>
      <c r="B109" s="47" t="s">
        <v>566</v>
      </c>
      <c r="C109" s="12" t="s">
        <v>123</v>
      </c>
      <c r="D109" s="12" t="s">
        <v>58</v>
      </c>
      <c r="E109" s="12" t="s">
        <v>215</v>
      </c>
      <c r="F109" s="12" t="s">
        <v>343</v>
      </c>
      <c r="G109" s="12" t="s">
        <v>344</v>
      </c>
      <c r="H109" s="12" t="s">
        <v>567</v>
      </c>
      <c r="I109" s="12" t="s">
        <v>1324</v>
      </c>
    </row>
    <row r="110" spans="1:9" ht="42.75" x14ac:dyDescent="0.45">
      <c r="A110" s="47" t="s">
        <v>127</v>
      </c>
      <c r="B110" s="47" t="s">
        <v>568</v>
      </c>
      <c r="C110" s="12" t="s">
        <v>123</v>
      </c>
      <c r="D110" s="12" t="s">
        <v>58</v>
      </c>
      <c r="E110" s="12" t="s">
        <v>215</v>
      </c>
      <c r="F110" s="12" t="s">
        <v>343</v>
      </c>
      <c r="G110" s="12" t="s">
        <v>344</v>
      </c>
      <c r="H110" s="12" t="s">
        <v>569</v>
      </c>
      <c r="I110" s="12" t="s">
        <v>1324</v>
      </c>
    </row>
    <row r="111" spans="1:9" ht="28.5" x14ac:dyDescent="0.45">
      <c r="A111" s="47" t="s">
        <v>570</v>
      </c>
      <c r="B111" s="47" t="s">
        <v>571</v>
      </c>
      <c r="C111" s="12" t="s">
        <v>330</v>
      </c>
      <c r="D111" s="12" t="s">
        <v>58</v>
      </c>
      <c r="E111" s="12" t="s">
        <v>167</v>
      </c>
      <c r="F111" s="12" t="s">
        <v>331</v>
      </c>
      <c r="G111" s="12" t="s">
        <v>332</v>
      </c>
      <c r="H111" s="12" t="s">
        <v>572</v>
      </c>
      <c r="I111" s="12" t="s">
        <v>1323</v>
      </c>
    </row>
    <row r="112" spans="1:9" ht="28.5" x14ac:dyDescent="0.45">
      <c r="A112" s="47" t="s">
        <v>573</v>
      </c>
      <c r="B112" s="47" t="s">
        <v>574</v>
      </c>
      <c r="C112" s="12" t="s">
        <v>330</v>
      </c>
      <c r="D112" s="12" t="s">
        <v>58</v>
      </c>
      <c r="E112" s="12" t="s">
        <v>167</v>
      </c>
      <c r="F112" s="12" t="s">
        <v>331</v>
      </c>
      <c r="G112" s="12" t="s">
        <v>332</v>
      </c>
      <c r="H112" s="12" t="s">
        <v>575</v>
      </c>
      <c r="I112" s="12" t="s">
        <v>1323</v>
      </c>
    </row>
    <row r="113" spans="1:9" ht="28.5" x14ac:dyDescent="0.45">
      <c r="A113" s="47" t="s">
        <v>576</v>
      </c>
      <c r="B113" s="47" t="s">
        <v>577</v>
      </c>
      <c r="C113" s="12" t="s">
        <v>330</v>
      </c>
      <c r="D113" s="12" t="s">
        <v>58</v>
      </c>
      <c r="E113" s="12" t="s">
        <v>167</v>
      </c>
      <c r="F113" s="12" t="s">
        <v>578</v>
      </c>
      <c r="G113" s="12" t="s">
        <v>579</v>
      </c>
      <c r="H113" s="12" t="s">
        <v>580</v>
      </c>
      <c r="I113" s="12" t="s">
        <v>1324</v>
      </c>
    </row>
    <row r="114" spans="1:9" ht="28.5" x14ac:dyDescent="0.45">
      <c r="A114" s="47" t="s">
        <v>337</v>
      </c>
      <c r="B114" s="47" t="s">
        <v>582</v>
      </c>
      <c r="C114" s="12" t="s">
        <v>330</v>
      </c>
      <c r="D114" s="12" t="s">
        <v>58</v>
      </c>
      <c r="E114" s="12" t="s">
        <v>167</v>
      </c>
      <c r="F114" s="12" t="s">
        <v>1339</v>
      </c>
      <c r="G114" s="12" t="s">
        <v>338</v>
      </c>
      <c r="H114" s="12" t="s">
        <v>583</v>
      </c>
      <c r="I114" s="12" t="s">
        <v>1326</v>
      </c>
    </row>
    <row r="115" spans="1:9" ht="28.5" x14ac:dyDescent="0.45">
      <c r="A115" s="47" t="s">
        <v>339</v>
      </c>
      <c r="B115" s="47" t="s">
        <v>585</v>
      </c>
      <c r="C115" s="12" t="s">
        <v>330</v>
      </c>
      <c r="D115" s="12" t="s">
        <v>58</v>
      </c>
      <c r="E115" s="12" t="s">
        <v>167</v>
      </c>
      <c r="F115" s="12" t="s">
        <v>1339</v>
      </c>
      <c r="G115" s="12" t="s">
        <v>338</v>
      </c>
      <c r="H115" s="12" t="s">
        <v>586</v>
      </c>
      <c r="I115" s="12" t="s">
        <v>1326</v>
      </c>
    </row>
    <row r="116" spans="1:9" ht="28.5" x14ac:dyDescent="0.45">
      <c r="A116" s="47" t="s">
        <v>581</v>
      </c>
      <c r="B116" s="47" t="s">
        <v>587</v>
      </c>
      <c r="C116" s="12" t="s">
        <v>330</v>
      </c>
      <c r="D116" s="12" t="s">
        <v>58</v>
      </c>
      <c r="E116" s="12" t="s">
        <v>167</v>
      </c>
      <c r="F116" s="12" t="s">
        <v>1339</v>
      </c>
      <c r="G116" s="12" t="s">
        <v>338</v>
      </c>
      <c r="H116" s="12" t="s">
        <v>588</v>
      </c>
      <c r="I116" s="12" t="s">
        <v>1326</v>
      </c>
    </row>
    <row r="117" spans="1:9" ht="28.5" x14ac:dyDescent="0.45">
      <c r="A117" s="47" t="s">
        <v>359</v>
      </c>
      <c r="B117" s="47" t="s">
        <v>589</v>
      </c>
      <c r="C117" s="12" t="s">
        <v>342</v>
      </c>
      <c r="D117" s="12" t="s">
        <v>58</v>
      </c>
      <c r="E117" s="12" t="s">
        <v>323</v>
      </c>
      <c r="F117" s="12" t="s">
        <v>348</v>
      </c>
      <c r="G117" s="12" t="s">
        <v>349</v>
      </c>
      <c r="H117" s="12" t="s">
        <v>590</v>
      </c>
      <c r="I117" s="12" t="s">
        <v>905</v>
      </c>
    </row>
    <row r="118" spans="1:9" ht="42.75" x14ac:dyDescent="0.45">
      <c r="A118" s="47" t="s">
        <v>363</v>
      </c>
      <c r="B118" s="47" t="s">
        <v>591</v>
      </c>
      <c r="C118" s="12" t="s">
        <v>342</v>
      </c>
      <c r="D118" s="12" t="s">
        <v>58</v>
      </c>
      <c r="E118" s="12" t="s">
        <v>215</v>
      </c>
      <c r="F118" s="12" t="s">
        <v>343</v>
      </c>
      <c r="G118" s="12" t="s">
        <v>344</v>
      </c>
      <c r="H118" s="12" t="s">
        <v>592</v>
      </c>
      <c r="I118" s="12" t="s">
        <v>1324</v>
      </c>
    </row>
    <row r="119" spans="1:9" ht="42.75" x14ac:dyDescent="0.45">
      <c r="A119" s="47" t="s">
        <v>134</v>
      </c>
      <c r="B119" s="47" t="s">
        <v>593</v>
      </c>
      <c r="C119" s="12" t="s">
        <v>135</v>
      </c>
      <c r="D119" s="12" t="s">
        <v>58</v>
      </c>
      <c r="E119" s="12" t="s">
        <v>215</v>
      </c>
      <c r="F119" s="12" t="s">
        <v>296</v>
      </c>
      <c r="G119" s="12" t="s">
        <v>297</v>
      </c>
      <c r="H119" s="12" t="s">
        <v>594</v>
      </c>
      <c r="I119" s="12" t="s">
        <v>1324</v>
      </c>
    </row>
    <row r="120" spans="1:9" ht="42.75" x14ac:dyDescent="0.45">
      <c r="A120" s="47" t="s">
        <v>381</v>
      </c>
      <c r="B120" s="47" t="s">
        <v>595</v>
      </c>
      <c r="C120" s="12" t="s">
        <v>135</v>
      </c>
      <c r="D120" s="12" t="s">
        <v>58</v>
      </c>
      <c r="E120" s="12" t="s">
        <v>215</v>
      </c>
      <c r="F120" s="12" t="s">
        <v>136</v>
      </c>
      <c r="G120" s="12" t="s">
        <v>137</v>
      </c>
      <c r="H120" s="12" t="s">
        <v>596</v>
      </c>
      <c r="I120" s="12" t="s">
        <v>1323</v>
      </c>
    </row>
    <row r="121" spans="1:9" ht="28.5" x14ac:dyDescent="0.45">
      <c r="A121" s="47" t="s">
        <v>382</v>
      </c>
      <c r="B121" s="47" t="s">
        <v>597</v>
      </c>
      <c r="C121" s="12" t="s">
        <v>135</v>
      </c>
      <c r="D121" s="12" t="s">
        <v>58</v>
      </c>
      <c r="E121" s="12" t="s">
        <v>167</v>
      </c>
      <c r="F121" s="12" t="s">
        <v>136</v>
      </c>
      <c r="G121" s="12" t="s">
        <v>137</v>
      </c>
      <c r="H121" s="12" t="s">
        <v>598</v>
      </c>
      <c r="I121" s="12" t="s">
        <v>1323</v>
      </c>
    </row>
    <row r="122" spans="1:9" ht="28.5" x14ac:dyDescent="0.45">
      <c r="A122" s="47" t="s">
        <v>138</v>
      </c>
      <c r="B122" s="47" t="s">
        <v>600</v>
      </c>
      <c r="C122" s="12" t="s">
        <v>139</v>
      </c>
      <c r="D122" s="12" t="s">
        <v>58</v>
      </c>
      <c r="E122" s="12" t="s">
        <v>215</v>
      </c>
      <c r="F122" s="12" t="s">
        <v>601</v>
      </c>
      <c r="G122" s="12" t="s">
        <v>602</v>
      </c>
      <c r="H122" s="12" t="s">
        <v>603</v>
      </c>
      <c r="I122" s="12" t="s">
        <v>1324</v>
      </c>
    </row>
    <row r="123" spans="1:9" ht="28.5" x14ac:dyDescent="0.45">
      <c r="A123" s="47" t="s">
        <v>599</v>
      </c>
      <c r="B123" s="47" t="s">
        <v>605</v>
      </c>
      <c r="C123" s="12" t="s">
        <v>139</v>
      </c>
      <c r="D123" s="12" t="s">
        <v>58</v>
      </c>
      <c r="E123" s="12" t="s">
        <v>215</v>
      </c>
      <c r="F123" s="12" t="s">
        <v>601</v>
      </c>
      <c r="G123" s="12" t="s">
        <v>602</v>
      </c>
      <c r="H123" s="12" t="s">
        <v>606</v>
      </c>
      <c r="I123" s="12" t="s">
        <v>1324</v>
      </c>
    </row>
    <row r="124" spans="1:9" ht="28.5" x14ac:dyDescent="0.45">
      <c r="A124" s="47" t="s">
        <v>389</v>
      </c>
      <c r="B124" s="47" t="s">
        <v>608</v>
      </c>
      <c r="C124" s="12" t="s">
        <v>139</v>
      </c>
      <c r="D124" s="12" t="s">
        <v>58</v>
      </c>
      <c r="E124" s="12" t="s">
        <v>215</v>
      </c>
      <c r="F124" s="12" t="s">
        <v>391</v>
      </c>
      <c r="G124" s="12" t="s">
        <v>392</v>
      </c>
      <c r="H124" s="12" t="s">
        <v>609</v>
      </c>
      <c r="I124" s="12" t="s">
        <v>1324</v>
      </c>
    </row>
    <row r="125" spans="1:9" ht="28.5" x14ac:dyDescent="0.45">
      <c r="A125" s="47" t="s">
        <v>607</v>
      </c>
      <c r="B125" s="47" t="s">
        <v>611</v>
      </c>
      <c r="C125" s="12" t="s">
        <v>139</v>
      </c>
      <c r="D125" s="12" t="s">
        <v>58</v>
      </c>
      <c r="E125" s="12" t="s">
        <v>167</v>
      </c>
      <c r="F125" s="12" t="s">
        <v>391</v>
      </c>
      <c r="G125" s="12" t="s">
        <v>392</v>
      </c>
      <c r="H125" s="12" t="s">
        <v>612</v>
      </c>
      <c r="I125" s="12" t="s">
        <v>1324</v>
      </c>
    </row>
    <row r="126" spans="1:9" ht="28.5" x14ac:dyDescent="0.45">
      <c r="A126" s="47" t="s">
        <v>394</v>
      </c>
      <c r="B126" s="47" t="s">
        <v>613</v>
      </c>
      <c r="C126" s="12" t="s">
        <v>139</v>
      </c>
      <c r="D126" s="12" t="s">
        <v>58</v>
      </c>
      <c r="E126" s="12" t="s">
        <v>215</v>
      </c>
      <c r="F126" s="12" t="s">
        <v>140</v>
      </c>
      <c r="G126" s="12" t="s">
        <v>141</v>
      </c>
      <c r="H126" s="12" t="s">
        <v>614</v>
      </c>
      <c r="I126" s="12" t="s">
        <v>1324</v>
      </c>
    </row>
    <row r="127" spans="1:9" ht="28.5" x14ac:dyDescent="0.45">
      <c r="A127" s="47" t="s">
        <v>403</v>
      </c>
      <c r="B127" s="47" t="s">
        <v>616</v>
      </c>
      <c r="C127" s="12" t="s">
        <v>143</v>
      </c>
      <c r="D127" s="12" t="s">
        <v>58</v>
      </c>
      <c r="E127" s="12" t="s">
        <v>167</v>
      </c>
      <c r="F127" s="12" t="s">
        <v>617</v>
      </c>
      <c r="G127" s="12" t="s">
        <v>618</v>
      </c>
      <c r="H127" s="12" t="s">
        <v>619</v>
      </c>
      <c r="I127" s="12" t="s">
        <v>1323</v>
      </c>
    </row>
    <row r="128" spans="1:9" ht="28.5" x14ac:dyDescent="0.45">
      <c r="A128" s="47" t="s">
        <v>615</v>
      </c>
      <c r="B128" s="47" t="s">
        <v>621</v>
      </c>
      <c r="C128" s="12" t="s">
        <v>143</v>
      </c>
      <c r="D128" s="12" t="s">
        <v>58</v>
      </c>
      <c r="E128" s="12" t="s">
        <v>167</v>
      </c>
      <c r="F128" s="12" t="s">
        <v>617</v>
      </c>
      <c r="G128" s="12" t="s">
        <v>618</v>
      </c>
      <c r="H128" s="12" t="s">
        <v>622</v>
      </c>
      <c r="I128" s="12" t="s">
        <v>1323</v>
      </c>
    </row>
    <row r="129" spans="1:9" ht="28.5" x14ac:dyDescent="0.45">
      <c r="A129" s="47" t="s">
        <v>620</v>
      </c>
      <c r="B129" s="47" t="s">
        <v>624</v>
      </c>
      <c r="C129" s="12" t="s">
        <v>143</v>
      </c>
      <c r="D129" s="12" t="s">
        <v>58</v>
      </c>
      <c r="E129" s="12" t="s">
        <v>167</v>
      </c>
      <c r="F129" s="12" t="s">
        <v>617</v>
      </c>
      <c r="G129" s="12" t="s">
        <v>618</v>
      </c>
      <c r="H129" s="12" t="s">
        <v>625</v>
      </c>
      <c r="I129" s="12" t="s">
        <v>1323</v>
      </c>
    </row>
    <row r="130" spans="1:9" ht="28.5" x14ac:dyDescent="0.45">
      <c r="A130" s="47" t="s">
        <v>623</v>
      </c>
      <c r="B130" s="47" t="s">
        <v>627</v>
      </c>
      <c r="C130" s="12" t="s">
        <v>143</v>
      </c>
      <c r="D130" s="12" t="s">
        <v>58</v>
      </c>
      <c r="E130" s="12" t="s">
        <v>167</v>
      </c>
      <c r="F130" s="12" t="s">
        <v>406</v>
      </c>
      <c r="G130" s="12" t="s">
        <v>407</v>
      </c>
      <c r="H130" s="12" t="s">
        <v>628</v>
      </c>
      <c r="I130" s="12" t="s">
        <v>1323</v>
      </c>
    </row>
    <row r="131" spans="1:9" ht="28.5" x14ac:dyDescent="0.45">
      <c r="A131" s="47" t="s">
        <v>626</v>
      </c>
      <c r="B131" s="47" t="s">
        <v>630</v>
      </c>
      <c r="C131" s="12" t="s">
        <v>143</v>
      </c>
      <c r="D131" s="12" t="s">
        <v>58</v>
      </c>
      <c r="E131" s="12" t="s">
        <v>167</v>
      </c>
      <c r="F131" s="12" t="s">
        <v>406</v>
      </c>
      <c r="G131" s="12" t="s">
        <v>407</v>
      </c>
      <c r="H131" s="12" t="s">
        <v>631</v>
      </c>
      <c r="I131" s="12" t="s">
        <v>1323</v>
      </c>
    </row>
    <row r="132" spans="1:9" ht="28.5" x14ac:dyDescent="0.45">
      <c r="A132" s="47" t="s">
        <v>404</v>
      </c>
      <c r="B132" s="47" t="s">
        <v>633</v>
      </c>
      <c r="C132" s="12" t="s">
        <v>143</v>
      </c>
      <c r="D132" s="12" t="s">
        <v>58</v>
      </c>
      <c r="E132" s="12" t="s">
        <v>167</v>
      </c>
      <c r="F132" s="12" t="s">
        <v>406</v>
      </c>
      <c r="G132" s="12" t="s">
        <v>407</v>
      </c>
      <c r="H132" s="12" t="s">
        <v>634</v>
      </c>
      <c r="I132" s="12" t="s">
        <v>1323</v>
      </c>
    </row>
    <row r="133" spans="1:9" ht="28.5" x14ac:dyDescent="0.45">
      <c r="A133" s="47" t="s">
        <v>632</v>
      </c>
      <c r="B133" s="47" t="s">
        <v>635</v>
      </c>
      <c r="C133" s="12" t="s">
        <v>143</v>
      </c>
      <c r="D133" s="12" t="s">
        <v>58</v>
      </c>
      <c r="E133" s="12" t="s">
        <v>167</v>
      </c>
      <c r="F133" s="12" t="s">
        <v>617</v>
      </c>
      <c r="G133" s="12" t="s">
        <v>618</v>
      </c>
      <c r="H133" s="12" t="s">
        <v>636</v>
      </c>
      <c r="I133" s="12" t="s">
        <v>1323</v>
      </c>
    </row>
    <row r="134" spans="1:9" ht="42.75" x14ac:dyDescent="0.45">
      <c r="A134" s="47" t="s">
        <v>637</v>
      </c>
      <c r="B134" s="47" t="s">
        <v>638</v>
      </c>
      <c r="C134" s="12" t="s">
        <v>413</v>
      </c>
      <c r="D134" s="12" t="s">
        <v>58</v>
      </c>
      <c r="E134" s="12" t="s">
        <v>215</v>
      </c>
      <c r="F134" s="12" t="s">
        <v>296</v>
      </c>
      <c r="G134" s="12" t="s">
        <v>297</v>
      </c>
      <c r="H134" s="12" t="s">
        <v>639</v>
      </c>
      <c r="I134" s="12" t="s">
        <v>1324</v>
      </c>
    </row>
    <row r="135" spans="1:9" ht="28.5" x14ac:dyDescent="0.45">
      <c r="A135" s="47" t="s">
        <v>421</v>
      </c>
      <c r="B135" s="47" t="s">
        <v>641</v>
      </c>
      <c r="C135" s="12" t="s">
        <v>413</v>
      </c>
      <c r="D135" s="12" t="s">
        <v>58</v>
      </c>
      <c r="E135" s="12" t="s">
        <v>215</v>
      </c>
      <c r="F135" s="12" t="s">
        <v>419</v>
      </c>
      <c r="G135" s="12" t="s">
        <v>420</v>
      </c>
      <c r="H135" s="12" t="s">
        <v>642</v>
      </c>
      <c r="I135" s="12" t="s">
        <v>1323</v>
      </c>
    </row>
    <row r="136" spans="1:9" ht="28.5" x14ac:dyDescent="0.45">
      <c r="A136" s="47" t="s">
        <v>640</v>
      </c>
      <c r="B136" s="47" t="s">
        <v>644</v>
      </c>
      <c r="C136" s="12" t="s">
        <v>413</v>
      </c>
      <c r="D136" s="12" t="s">
        <v>58</v>
      </c>
      <c r="E136" s="12" t="s">
        <v>167</v>
      </c>
      <c r="F136" s="12" t="s">
        <v>423</v>
      </c>
      <c r="G136" s="12" t="s">
        <v>424</v>
      </c>
      <c r="H136" s="12" t="s">
        <v>645</v>
      </c>
      <c r="I136" s="12" t="s">
        <v>1323</v>
      </c>
    </row>
    <row r="137" spans="1:9" ht="28.5" x14ac:dyDescent="0.45">
      <c r="A137" s="47" t="s">
        <v>683</v>
      </c>
      <c r="B137" s="47" t="s">
        <v>647</v>
      </c>
      <c r="C137" s="12" t="s">
        <v>413</v>
      </c>
      <c r="D137" s="12" t="s">
        <v>58</v>
      </c>
      <c r="E137" s="12" t="s">
        <v>167</v>
      </c>
      <c r="F137" s="12" t="s">
        <v>578</v>
      </c>
      <c r="G137" s="12" t="s">
        <v>579</v>
      </c>
      <c r="H137" s="12" t="s">
        <v>648</v>
      </c>
      <c r="I137" s="12" t="s">
        <v>1324</v>
      </c>
    </row>
    <row r="138" spans="1:9" ht="28.5" x14ac:dyDescent="0.45">
      <c r="A138" s="47" t="s">
        <v>646</v>
      </c>
      <c r="B138" s="47" t="s">
        <v>650</v>
      </c>
      <c r="C138" s="12" t="s">
        <v>413</v>
      </c>
      <c r="D138" s="12" t="s">
        <v>58</v>
      </c>
      <c r="E138" s="12" t="s">
        <v>167</v>
      </c>
      <c r="F138" s="12" t="s">
        <v>578</v>
      </c>
      <c r="G138" s="12" t="s">
        <v>579</v>
      </c>
      <c r="H138" s="12" t="s">
        <v>651</v>
      </c>
      <c r="I138" s="12" t="s">
        <v>1324</v>
      </c>
    </row>
    <row r="139" spans="1:9" ht="42.75" x14ac:dyDescent="0.45">
      <c r="A139" s="47" t="s">
        <v>426</v>
      </c>
      <c r="B139" s="47" t="s">
        <v>653</v>
      </c>
      <c r="C139" s="12" t="s">
        <v>413</v>
      </c>
      <c r="D139" s="12" t="s">
        <v>58</v>
      </c>
      <c r="E139" s="12" t="s">
        <v>215</v>
      </c>
      <c r="F139" s="12" t="s">
        <v>343</v>
      </c>
      <c r="G139" s="12" t="s">
        <v>344</v>
      </c>
      <c r="H139" s="12" t="s">
        <v>654</v>
      </c>
      <c r="I139" s="12" t="s">
        <v>1324</v>
      </c>
    </row>
    <row r="140" spans="1:9" ht="28.5" x14ac:dyDescent="0.45">
      <c r="A140" s="47" t="s">
        <v>652</v>
      </c>
      <c r="B140" s="47" t="s">
        <v>655</v>
      </c>
      <c r="C140" s="12" t="s">
        <v>413</v>
      </c>
      <c r="D140" s="12" t="s">
        <v>58</v>
      </c>
      <c r="E140" s="12" t="s">
        <v>215</v>
      </c>
      <c r="F140" s="12" t="s">
        <v>343</v>
      </c>
      <c r="G140" s="12" t="s">
        <v>344</v>
      </c>
      <c r="H140" s="12" t="s">
        <v>656</v>
      </c>
      <c r="I140" s="12" t="s">
        <v>1324</v>
      </c>
    </row>
    <row r="141" spans="1:9" ht="28.5" x14ac:dyDescent="0.45">
      <c r="A141" s="47" t="s">
        <v>657</v>
      </c>
      <c r="B141" s="47" t="s">
        <v>658</v>
      </c>
      <c r="C141" s="12" t="s">
        <v>431</v>
      </c>
      <c r="D141" s="12" t="s">
        <v>58</v>
      </c>
      <c r="E141" s="12" t="s">
        <v>215</v>
      </c>
      <c r="F141" s="12" t="s">
        <v>454</v>
      </c>
      <c r="G141" s="12" t="s">
        <v>455</v>
      </c>
      <c r="H141" s="12" t="s">
        <v>659</v>
      </c>
      <c r="I141" s="12" t="s">
        <v>1323</v>
      </c>
    </row>
    <row r="142" spans="1:9" ht="28.5" x14ac:dyDescent="0.45">
      <c r="A142" s="47" t="s">
        <v>660</v>
      </c>
      <c r="B142" s="47" t="s">
        <v>661</v>
      </c>
      <c r="C142" s="12" t="s">
        <v>431</v>
      </c>
      <c r="D142" s="12" t="s">
        <v>58</v>
      </c>
      <c r="E142" s="12" t="s">
        <v>437</v>
      </c>
      <c r="F142" s="12" t="s">
        <v>438</v>
      </c>
      <c r="G142" s="12" t="s">
        <v>439</v>
      </c>
      <c r="H142" s="12" t="s">
        <v>662</v>
      </c>
      <c r="I142" s="12" t="s">
        <v>1326</v>
      </c>
    </row>
    <row r="143" spans="1:9" ht="28.5" x14ac:dyDescent="0.45">
      <c r="A143" s="47" t="s">
        <v>663</v>
      </c>
      <c r="B143" s="47" t="s">
        <v>664</v>
      </c>
      <c r="C143" s="12" t="s">
        <v>431</v>
      </c>
      <c r="D143" s="12" t="s">
        <v>58</v>
      </c>
      <c r="E143" s="12" t="s">
        <v>437</v>
      </c>
      <c r="F143" s="12" t="s">
        <v>432</v>
      </c>
      <c r="G143" s="12" t="s">
        <v>433</v>
      </c>
      <c r="H143" s="12" t="s">
        <v>665</v>
      </c>
      <c r="I143" s="12" t="s">
        <v>1326</v>
      </c>
    </row>
    <row r="144" spans="1:9" ht="42.75" x14ac:dyDescent="0.45">
      <c r="A144" s="47" t="s">
        <v>666</v>
      </c>
      <c r="B144" s="47" t="s">
        <v>667</v>
      </c>
      <c r="C144" s="12" t="s">
        <v>431</v>
      </c>
      <c r="D144" s="12" t="s">
        <v>58</v>
      </c>
      <c r="E144" s="12" t="s">
        <v>437</v>
      </c>
      <c r="F144" s="12" t="s">
        <v>432</v>
      </c>
      <c r="G144" s="12" t="s">
        <v>433</v>
      </c>
      <c r="H144" s="12" t="s">
        <v>668</v>
      </c>
      <c r="I144" s="12" t="s">
        <v>1326</v>
      </c>
    </row>
    <row r="145" spans="1:9" x14ac:dyDescent="0.45">
      <c r="A145" s="47" t="s">
        <v>183</v>
      </c>
      <c r="B145" s="47" t="s">
        <v>670</v>
      </c>
      <c r="C145" s="12" t="s">
        <v>166</v>
      </c>
      <c r="D145" s="12" t="s">
        <v>671</v>
      </c>
      <c r="E145" s="12" t="s">
        <v>167</v>
      </c>
      <c r="F145" s="12" t="s">
        <v>188</v>
      </c>
      <c r="G145" s="12" t="s">
        <v>189</v>
      </c>
      <c r="H145" s="12" t="s">
        <v>672</v>
      </c>
      <c r="I145" s="12" t="s">
        <v>905</v>
      </c>
    </row>
    <row r="146" spans="1:9" ht="28.5" x14ac:dyDescent="0.45">
      <c r="A146" s="47" t="s">
        <v>673</v>
      </c>
      <c r="B146" s="47" t="s">
        <v>674</v>
      </c>
      <c r="C146" s="12" t="s">
        <v>239</v>
      </c>
      <c r="D146" s="12" t="s">
        <v>671</v>
      </c>
      <c r="E146" s="12" t="s">
        <v>167</v>
      </c>
      <c r="F146" s="12" t="s">
        <v>254</v>
      </c>
      <c r="G146" s="12" t="s">
        <v>255</v>
      </c>
      <c r="H146" s="12" t="s">
        <v>675</v>
      </c>
      <c r="I146" s="12" t="s">
        <v>1324</v>
      </c>
    </row>
    <row r="147" spans="1:9" ht="28.5" x14ac:dyDescent="0.45">
      <c r="A147" s="47" t="s">
        <v>584</v>
      </c>
      <c r="B147" s="47" t="s">
        <v>676</v>
      </c>
      <c r="C147" s="12" t="s">
        <v>330</v>
      </c>
      <c r="D147" s="12" t="s">
        <v>671</v>
      </c>
      <c r="E147" s="12" t="s">
        <v>167</v>
      </c>
      <c r="F147" s="12" t="s">
        <v>677</v>
      </c>
      <c r="G147" s="12" t="s">
        <v>678</v>
      </c>
      <c r="H147" s="12" t="s">
        <v>679</v>
      </c>
      <c r="I147" s="12" t="s">
        <v>1323</v>
      </c>
    </row>
    <row r="148" spans="1:9" ht="28.5" x14ac:dyDescent="0.45">
      <c r="A148" s="47" t="s">
        <v>643</v>
      </c>
      <c r="B148" s="47" t="s">
        <v>681</v>
      </c>
      <c r="C148" s="12" t="s">
        <v>413</v>
      </c>
      <c r="D148" s="12" t="s">
        <v>671</v>
      </c>
      <c r="E148" s="12" t="s">
        <v>215</v>
      </c>
      <c r="F148" s="12" t="s">
        <v>419</v>
      </c>
      <c r="G148" s="12" t="s">
        <v>420</v>
      </c>
      <c r="H148" s="12" t="s">
        <v>682</v>
      </c>
      <c r="I148" s="12" t="s">
        <v>1323</v>
      </c>
    </row>
    <row r="149" spans="1:9" ht="42.75" x14ac:dyDescent="0.45">
      <c r="A149" s="47" t="s">
        <v>680</v>
      </c>
      <c r="B149" s="47" t="s">
        <v>684</v>
      </c>
      <c r="C149" s="12" t="s">
        <v>413</v>
      </c>
      <c r="D149" s="12" t="s">
        <v>671</v>
      </c>
      <c r="E149" s="12" t="s">
        <v>215</v>
      </c>
      <c r="F149" s="12" t="s">
        <v>578</v>
      </c>
      <c r="G149" s="12" t="s">
        <v>579</v>
      </c>
      <c r="H149" s="12" t="s">
        <v>685</v>
      </c>
      <c r="I149" s="12" t="s">
        <v>1324</v>
      </c>
    </row>
    <row r="150" spans="1:9" ht="42.75" x14ac:dyDescent="0.45">
      <c r="A150" s="47" t="s">
        <v>544</v>
      </c>
      <c r="B150" s="47" t="s">
        <v>686</v>
      </c>
      <c r="C150" s="12" t="s">
        <v>260</v>
      </c>
      <c r="D150" s="12" t="s">
        <v>687</v>
      </c>
      <c r="E150" s="12" t="s">
        <v>688</v>
      </c>
      <c r="F150" s="12" t="s">
        <v>280</v>
      </c>
      <c r="G150" s="12" t="s">
        <v>281</v>
      </c>
      <c r="H150" s="12" t="s">
        <v>689</v>
      </c>
      <c r="I150" s="12" t="s">
        <v>905</v>
      </c>
    </row>
  </sheetData>
  <mergeCells count="1">
    <mergeCell ref="A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1"/>
  <sheetViews>
    <sheetView showGridLines="0" zoomScaleNormal="100" workbookViewId="0">
      <selection activeCell="A4" sqref="A4:XFD4"/>
    </sheetView>
  </sheetViews>
  <sheetFormatPr defaultColWidth="8.6640625" defaultRowHeight="14.25" x14ac:dyDescent="0.45"/>
  <cols>
    <col min="1" max="1" width="9" customWidth="1"/>
    <col min="2" max="2" width="30" customWidth="1"/>
    <col min="3" max="3" width="9" customWidth="1"/>
    <col min="4" max="4" width="38" customWidth="1"/>
    <col min="5" max="5" width="9" customWidth="1"/>
    <col min="6" max="6" width="15" customWidth="1"/>
    <col min="7" max="7" width="8" customWidth="1"/>
  </cols>
  <sheetData>
    <row r="1" spans="1:7" ht="18" x14ac:dyDescent="0.55000000000000004">
      <c r="A1" s="1" t="s">
        <v>690</v>
      </c>
    </row>
    <row r="2" spans="1:7" x14ac:dyDescent="0.45">
      <c r="A2" s="2" t="s">
        <v>691</v>
      </c>
    </row>
    <row r="4" spans="1:7" s="17" customFormat="1" x14ac:dyDescent="0.45">
      <c r="A4" s="22" t="s">
        <v>692</v>
      </c>
      <c r="B4" s="22" t="s">
        <v>693</v>
      </c>
      <c r="C4" s="22" t="s">
        <v>694</v>
      </c>
      <c r="D4" s="22" t="s">
        <v>695</v>
      </c>
      <c r="E4" s="22" t="s">
        <v>16</v>
      </c>
      <c r="F4" s="22" t="s">
        <v>18</v>
      </c>
      <c r="G4" s="22" t="s">
        <v>696</v>
      </c>
    </row>
    <row r="5" spans="1:7" x14ac:dyDescent="0.45">
      <c r="A5" s="20" t="s">
        <v>697</v>
      </c>
      <c r="B5" s="20" t="s">
        <v>698</v>
      </c>
      <c r="C5" s="21"/>
      <c r="D5" s="21"/>
      <c r="E5" s="21"/>
      <c r="F5" s="21"/>
      <c r="G5" s="21"/>
    </row>
    <row r="6" spans="1:7" x14ac:dyDescent="0.45">
      <c r="A6" s="13"/>
      <c r="B6" s="13"/>
      <c r="C6" s="13" t="s">
        <v>699</v>
      </c>
      <c r="D6" s="13" t="s">
        <v>700</v>
      </c>
      <c r="E6" s="13" t="s">
        <v>344</v>
      </c>
      <c r="F6" s="13" t="s">
        <v>1324</v>
      </c>
      <c r="G6" s="13">
        <f>COUNTIF('Master Register'!$U$4:$U$178,$C6&amp;" "&amp;$D6)</f>
        <v>7</v>
      </c>
    </row>
    <row r="7" spans="1:7" x14ac:dyDescent="0.45">
      <c r="A7" s="13"/>
      <c r="B7" s="13"/>
      <c r="C7" s="13" t="s">
        <v>701</v>
      </c>
      <c r="D7" s="13" t="s">
        <v>702</v>
      </c>
      <c r="E7" s="13" t="s">
        <v>297</v>
      </c>
      <c r="F7" s="13" t="s">
        <v>1324</v>
      </c>
      <c r="G7" s="13">
        <f>COUNTIF('Master Register'!$U$4:$U$178,$C7&amp;" "&amp;$D7)</f>
        <v>5</v>
      </c>
    </row>
    <row r="8" spans="1:7" x14ac:dyDescent="0.45">
      <c r="A8" s="13"/>
      <c r="B8" s="13"/>
      <c r="C8" s="13" t="s">
        <v>703</v>
      </c>
      <c r="D8" s="13" t="s">
        <v>1341</v>
      </c>
      <c r="E8" s="13" t="s">
        <v>338</v>
      </c>
      <c r="F8" s="13" t="s">
        <v>1326</v>
      </c>
      <c r="G8" s="13">
        <f>COUNTIF('Master Register'!$U$4:$U$178,$C8&amp;" "&amp;$D8)</f>
        <v>3</v>
      </c>
    </row>
    <row r="9" spans="1:7" x14ac:dyDescent="0.45">
      <c r="A9" s="13"/>
      <c r="B9" s="13"/>
      <c r="C9" s="13" t="s">
        <v>704</v>
      </c>
      <c r="D9" s="13" t="s">
        <v>705</v>
      </c>
      <c r="E9" s="13" t="s">
        <v>579</v>
      </c>
      <c r="F9" s="13" t="s">
        <v>1324</v>
      </c>
      <c r="G9" s="13">
        <f>COUNTIF('Master Register'!$U$4:$U$178,$C9&amp;" "&amp;$D9)</f>
        <v>4</v>
      </c>
    </row>
    <row r="10" spans="1:7" x14ac:dyDescent="0.45">
      <c r="A10" s="20" t="s">
        <v>706</v>
      </c>
      <c r="B10" s="20" t="s">
        <v>22</v>
      </c>
      <c r="C10" s="21"/>
      <c r="D10" s="21"/>
      <c r="E10" s="21"/>
      <c r="F10" s="21"/>
      <c r="G10" s="21"/>
    </row>
    <row r="11" spans="1:7" x14ac:dyDescent="0.45">
      <c r="A11" s="13"/>
      <c r="B11" s="13"/>
      <c r="C11" s="13" t="s">
        <v>707</v>
      </c>
      <c r="D11" s="13" t="s">
        <v>708</v>
      </c>
      <c r="E11" s="13" t="s">
        <v>26</v>
      </c>
      <c r="F11" s="13" t="s">
        <v>905</v>
      </c>
      <c r="G11" s="13">
        <f>COUNTIF('Master Register'!$U$4:$U$178,$C11&amp;" "&amp;$D11)</f>
        <v>5</v>
      </c>
    </row>
    <row r="12" spans="1:7" x14ac:dyDescent="0.45">
      <c r="A12" s="13"/>
      <c r="B12" s="13"/>
      <c r="C12" s="13" t="s">
        <v>709</v>
      </c>
      <c r="D12" s="13" t="s">
        <v>710</v>
      </c>
      <c r="E12" s="13" t="s">
        <v>42</v>
      </c>
      <c r="F12" s="13" t="s">
        <v>905</v>
      </c>
      <c r="G12" s="13">
        <f>COUNTIF('Master Register'!$U$4:$U$178,$C12&amp;" "&amp;$D12)</f>
        <v>1</v>
      </c>
    </row>
    <row r="13" spans="1:7" x14ac:dyDescent="0.45">
      <c r="A13" s="13"/>
      <c r="B13" s="13"/>
      <c r="C13" s="13" t="s">
        <v>711</v>
      </c>
      <c r="D13" s="13" t="s">
        <v>712</v>
      </c>
      <c r="E13" s="13" t="s">
        <v>47</v>
      </c>
      <c r="F13" s="13" t="s">
        <v>905</v>
      </c>
      <c r="G13" s="13">
        <f>COUNTIF('Master Register'!$U$4:$U$178,$C13&amp;" "&amp;$D13)</f>
        <v>5</v>
      </c>
    </row>
    <row r="14" spans="1:7" x14ac:dyDescent="0.45">
      <c r="A14" s="20" t="s">
        <v>713</v>
      </c>
      <c r="B14" s="20" t="s">
        <v>69</v>
      </c>
      <c r="C14" s="21"/>
      <c r="D14" s="21"/>
      <c r="E14" s="21"/>
      <c r="F14" s="21"/>
      <c r="G14" s="21"/>
    </row>
    <row r="15" spans="1:7" x14ac:dyDescent="0.45">
      <c r="A15" s="13"/>
      <c r="B15" s="13"/>
      <c r="C15" s="13" t="s">
        <v>714</v>
      </c>
      <c r="D15" s="13" t="s">
        <v>715</v>
      </c>
      <c r="E15" s="13" t="s">
        <v>78</v>
      </c>
      <c r="F15" s="13" t="s">
        <v>1326</v>
      </c>
      <c r="G15" s="13">
        <f>COUNTIF('Master Register'!$U$4:$U$178,$C15&amp;" "&amp;$D15)</f>
        <v>4</v>
      </c>
    </row>
    <row r="16" spans="1:7" x14ac:dyDescent="0.45">
      <c r="A16" s="13"/>
      <c r="B16" s="13"/>
      <c r="C16" s="13" t="s">
        <v>716</v>
      </c>
      <c r="D16" s="13" t="s">
        <v>717</v>
      </c>
      <c r="E16" s="13" t="s">
        <v>72</v>
      </c>
      <c r="F16" s="13" t="s">
        <v>1326</v>
      </c>
      <c r="G16" s="13">
        <f>COUNTIF('Master Register'!$U$4:$U$178,$C16&amp;" "&amp;$D16)</f>
        <v>2</v>
      </c>
    </row>
    <row r="17" spans="1:7" x14ac:dyDescent="0.45">
      <c r="A17" s="13"/>
      <c r="B17" s="13"/>
      <c r="C17" s="13" t="s">
        <v>718</v>
      </c>
      <c r="D17" s="13" t="s">
        <v>719</v>
      </c>
      <c r="E17" s="13" t="s">
        <v>108</v>
      </c>
      <c r="F17" s="13" t="s">
        <v>1326</v>
      </c>
      <c r="G17" s="13">
        <f>COUNTIF('Master Register'!$U$4:$U$178,$C17&amp;" "&amp;$D17)</f>
        <v>4</v>
      </c>
    </row>
    <row r="18" spans="1:7" x14ac:dyDescent="0.45">
      <c r="A18" s="13"/>
      <c r="B18" s="13"/>
      <c r="C18" s="13" t="s">
        <v>720</v>
      </c>
      <c r="D18" s="13" t="s">
        <v>721</v>
      </c>
      <c r="E18" s="13" t="s">
        <v>87</v>
      </c>
      <c r="F18" s="13" t="s">
        <v>1323</v>
      </c>
      <c r="G18" s="13">
        <f>COUNTIF('Master Register'!$U$4:$U$178,$C18&amp;" "&amp;$D18)</f>
        <v>2</v>
      </c>
    </row>
    <row r="19" spans="1:7" x14ac:dyDescent="0.45">
      <c r="A19" s="13"/>
      <c r="B19" s="13"/>
      <c r="C19" s="13" t="s">
        <v>722</v>
      </c>
      <c r="D19" s="13" t="s">
        <v>723</v>
      </c>
      <c r="E19" s="13" t="s">
        <v>150</v>
      </c>
      <c r="F19" s="13" t="s">
        <v>1324</v>
      </c>
      <c r="G19" s="13">
        <f>COUNTIF('Master Register'!$U$4:$U$178,$C19&amp;" "&amp;$D19)</f>
        <v>0</v>
      </c>
    </row>
    <row r="20" spans="1:7" x14ac:dyDescent="0.45">
      <c r="A20" s="13"/>
      <c r="B20" s="13"/>
      <c r="C20" s="13" t="s">
        <v>724</v>
      </c>
      <c r="D20" s="13" t="s">
        <v>725</v>
      </c>
      <c r="E20" s="13" t="s">
        <v>97</v>
      </c>
      <c r="F20" s="13" t="s">
        <v>905</v>
      </c>
      <c r="G20" s="13">
        <f>COUNTIF('Master Register'!$U$4:$U$178,$C20&amp;" "&amp;$D20)</f>
        <v>2</v>
      </c>
    </row>
    <row r="21" spans="1:7" x14ac:dyDescent="0.45">
      <c r="A21" s="20" t="s">
        <v>726</v>
      </c>
      <c r="B21" s="20" t="s">
        <v>727</v>
      </c>
      <c r="C21" s="21"/>
      <c r="D21" s="21"/>
      <c r="E21" s="21"/>
      <c r="F21" s="21"/>
      <c r="G21" s="21"/>
    </row>
    <row r="22" spans="1:7" x14ac:dyDescent="0.45">
      <c r="A22" s="13"/>
      <c r="B22" s="13"/>
      <c r="C22" s="13" t="s">
        <v>728</v>
      </c>
      <c r="D22" s="13" t="s">
        <v>729</v>
      </c>
      <c r="E22" s="13" t="s">
        <v>169</v>
      </c>
      <c r="F22" s="13" t="s">
        <v>1323</v>
      </c>
      <c r="G22" s="13">
        <f>COUNTIF('Master Register'!$U$4:$U$178,$C22&amp;" "&amp;$D22)</f>
        <v>3</v>
      </c>
    </row>
    <row r="23" spans="1:7" x14ac:dyDescent="0.45">
      <c r="A23" s="13"/>
      <c r="B23" s="13"/>
      <c r="C23" s="13" t="s">
        <v>730</v>
      </c>
      <c r="D23" s="13" t="s">
        <v>731</v>
      </c>
      <c r="E23" s="13" t="s">
        <v>180</v>
      </c>
      <c r="F23" s="13" t="s">
        <v>1323</v>
      </c>
      <c r="G23" s="13">
        <f>COUNTIF('Master Register'!$U$4:$U$178,$C23&amp;" "&amp;$D23)</f>
        <v>1</v>
      </c>
    </row>
    <row r="24" spans="1:7" x14ac:dyDescent="0.45">
      <c r="A24" s="13"/>
      <c r="B24" s="13"/>
      <c r="C24" s="13" t="s">
        <v>732</v>
      </c>
      <c r="D24" s="13" t="s">
        <v>733</v>
      </c>
      <c r="E24" s="13" t="s">
        <v>189</v>
      </c>
      <c r="F24" s="13" t="s">
        <v>905</v>
      </c>
      <c r="G24" s="13">
        <f>COUNTIF('Master Register'!$U$4:$U$178,$C24&amp;" "&amp;$D24)</f>
        <v>5</v>
      </c>
    </row>
    <row r="25" spans="1:7" x14ac:dyDescent="0.45">
      <c r="A25" s="13"/>
      <c r="B25" s="13"/>
      <c r="C25" s="13" t="s">
        <v>734</v>
      </c>
      <c r="D25" s="13" t="s">
        <v>735</v>
      </c>
      <c r="E25" s="13" t="s">
        <v>194</v>
      </c>
      <c r="F25" s="13" t="s">
        <v>1324</v>
      </c>
      <c r="G25" s="13">
        <f>COUNTIF('Master Register'!$U$4:$U$178,$C25&amp;" "&amp;$D25)</f>
        <v>2</v>
      </c>
    </row>
    <row r="26" spans="1:7" x14ac:dyDescent="0.45">
      <c r="A26" s="13"/>
      <c r="B26" s="13"/>
      <c r="C26" s="13" t="s">
        <v>736</v>
      </c>
      <c r="D26" s="13" t="s">
        <v>737</v>
      </c>
      <c r="E26" s="13" t="s">
        <v>198</v>
      </c>
      <c r="F26" s="13" t="s">
        <v>1323</v>
      </c>
      <c r="G26" s="13">
        <f>COUNTIF('Master Register'!$U$4:$U$178,$C26&amp;" "&amp;$D26)</f>
        <v>2</v>
      </c>
    </row>
    <row r="27" spans="1:7" x14ac:dyDescent="0.45">
      <c r="A27" s="13"/>
      <c r="B27" s="13"/>
      <c r="C27" s="13" t="s">
        <v>738</v>
      </c>
      <c r="D27" s="13" t="s">
        <v>739</v>
      </c>
      <c r="E27" s="13" t="s">
        <v>203</v>
      </c>
      <c r="F27" s="13" t="s">
        <v>905</v>
      </c>
      <c r="G27" s="13">
        <f>COUNTIF('Master Register'!$U$4:$U$178,$C27&amp;" "&amp;$D27)</f>
        <v>4</v>
      </c>
    </row>
    <row r="28" spans="1:7" x14ac:dyDescent="0.45">
      <c r="A28" s="13"/>
      <c r="B28" s="13"/>
      <c r="C28" s="13" t="s">
        <v>740</v>
      </c>
      <c r="D28" s="13" t="s">
        <v>741</v>
      </c>
      <c r="E28" s="13" t="s">
        <v>208</v>
      </c>
      <c r="F28" s="13" t="s">
        <v>1323</v>
      </c>
      <c r="G28" s="13">
        <f>COUNTIF('Master Register'!$U$4:$U$178,$C28&amp;" "&amp;$D28)</f>
        <v>3</v>
      </c>
    </row>
    <row r="29" spans="1:7" x14ac:dyDescent="0.45">
      <c r="A29" s="13"/>
      <c r="B29" s="13"/>
      <c r="C29" s="13" t="s">
        <v>742</v>
      </c>
      <c r="D29" s="13" t="s">
        <v>743</v>
      </c>
      <c r="E29" s="13" t="s">
        <v>220</v>
      </c>
      <c r="F29" s="13" t="s">
        <v>1323</v>
      </c>
      <c r="G29" s="13">
        <f>COUNTIF('Master Register'!$U$4:$U$178,$C29&amp;" "&amp;$D29)</f>
        <v>5</v>
      </c>
    </row>
    <row r="30" spans="1:7" x14ac:dyDescent="0.45">
      <c r="A30" s="13"/>
      <c r="B30" s="13"/>
      <c r="C30" s="13" t="s">
        <v>744</v>
      </c>
      <c r="D30" s="13" t="s">
        <v>745</v>
      </c>
      <c r="E30" s="13" t="s">
        <v>119</v>
      </c>
      <c r="F30" s="13" t="s">
        <v>905</v>
      </c>
      <c r="G30" s="13">
        <f>COUNTIF('Master Register'!$U$4:$U$178,$C30&amp;" "&amp;$D30)</f>
        <v>8</v>
      </c>
    </row>
    <row r="31" spans="1:7" x14ac:dyDescent="0.45">
      <c r="A31" s="20" t="s">
        <v>746</v>
      </c>
      <c r="B31" s="20" t="s">
        <v>747</v>
      </c>
      <c r="C31" s="21"/>
      <c r="D31" s="21"/>
      <c r="E31" s="21"/>
      <c r="F31" s="21"/>
      <c r="G31" s="21"/>
    </row>
    <row r="32" spans="1:7" x14ac:dyDescent="0.45">
      <c r="A32" s="13"/>
      <c r="B32" s="13"/>
      <c r="C32" s="13" t="s">
        <v>748</v>
      </c>
      <c r="D32" s="13" t="s">
        <v>749</v>
      </c>
      <c r="E32" s="13" t="s">
        <v>241</v>
      </c>
      <c r="F32" s="13" t="s">
        <v>1323</v>
      </c>
      <c r="G32" s="13">
        <f>COUNTIF('Master Register'!$U$4:$U$178,$C32&amp;" "&amp;$D32)</f>
        <v>6</v>
      </c>
    </row>
    <row r="33" spans="1:7" x14ac:dyDescent="0.45">
      <c r="A33" s="13"/>
      <c r="B33" s="13"/>
      <c r="C33" s="13" t="s">
        <v>750</v>
      </c>
      <c r="D33" s="13" t="s">
        <v>751</v>
      </c>
      <c r="E33" s="13" t="s">
        <v>255</v>
      </c>
      <c r="F33" s="13" t="s">
        <v>1324</v>
      </c>
      <c r="G33" s="13">
        <f>COUNTIF('Master Register'!$U$4:$U$178,$C33&amp;" "&amp;$D33)</f>
        <v>7</v>
      </c>
    </row>
    <row r="34" spans="1:7" x14ac:dyDescent="0.45">
      <c r="A34" s="13"/>
      <c r="B34" s="13"/>
      <c r="C34" s="13" t="s">
        <v>752</v>
      </c>
      <c r="D34" s="13" t="s">
        <v>753</v>
      </c>
      <c r="E34" s="13" t="s">
        <v>530</v>
      </c>
      <c r="F34" s="13" t="s">
        <v>1323</v>
      </c>
      <c r="G34" s="13">
        <f>COUNTIF('Master Register'!$U$4:$U$178,$C34&amp;" "&amp;$D34)</f>
        <v>2</v>
      </c>
    </row>
    <row r="35" spans="1:7" x14ac:dyDescent="0.45">
      <c r="A35" s="13"/>
      <c r="B35" s="13"/>
      <c r="C35" s="13" t="s">
        <v>754</v>
      </c>
      <c r="D35" s="13" t="s">
        <v>755</v>
      </c>
      <c r="E35" s="13" t="s">
        <v>263</v>
      </c>
      <c r="F35" s="13" t="s">
        <v>905</v>
      </c>
      <c r="G35" s="13">
        <f>COUNTIF('Master Register'!$U$4:$U$178,$C35&amp;" "&amp;$D35)</f>
        <v>3</v>
      </c>
    </row>
    <row r="36" spans="1:7" x14ac:dyDescent="0.45">
      <c r="A36" s="13"/>
      <c r="B36" s="13"/>
      <c r="C36" s="13" t="s">
        <v>756</v>
      </c>
      <c r="D36" s="13" t="s">
        <v>757</v>
      </c>
      <c r="E36" s="13" t="s">
        <v>272</v>
      </c>
      <c r="F36" s="13" t="s">
        <v>905</v>
      </c>
      <c r="G36" s="13">
        <f>COUNTIF('Master Register'!$U$4:$U$178,$C36&amp;" "&amp;$D36)</f>
        <v>2</v>
      </c>
    </row>
    <row r="37" spans="1:7" x14ac:dyDescent="0.45">
      <c r="A37" s="13"/>
      <c r="B37" s="13"/>
      <c r="C37" s="13" t="s">
        <v>758</v>
      </c>
      <c r="D37" s="13" t="s">
        <v>759</v>
      </c>
      <c r="E37" s="13" t="s">
        <v>281</v>
      </c>
      <c r="F37" s="13" t="s">
        <v>905</v>
      </c>
      <c r="G37" s="13">
        <f>COUNTIF('Master Register'!$U$4:$U$178,$C37&amp;" "&amp;$D37)</f>
        <v>8</v>
      </c>
    </row>
    <row r="38" spans="1:7" x14ac:dyDescent="0.45">
      <c r="A38" s="20" t="s">
        <v>760</v>
      </c>
      <c r="B38" s="20" t="s">
        <v>290</v>
      </c>
      <c r="C38" s="21"/>
      <c r="D38" s="21"/>
      <c r="E38" s="21"/>
      <c r="F38" s="21"/>
      <c r="G38" s="21"/>
    </row>
    <row r="39" spans="1:7" x14ac:dyDescent="0.45">
      <c r="A39" s="13"/>
      <c r="B39" s="13"/>
      <c r="C39" s="13" t="s">
        <v>761</v>
      </c>
      <c r="D39" s="13" t="s">
        <v>762</v>
      </c>
      <c r="E39" s="13" t="s">
        <v>292</v>
      </c>
      <c r="F39" s="13" t="s">
        <v>1323</v>
      </c>
      <c r="G39" s="13">
        <f>COUNTIF('Master Register'!$U$4:$U$178,$C39&amp;" "&amp;$D39)</f>
        <v>3</v>
      </c>
    </row>
    <row r="40" spans="1:7" x14ac:dyDescent="0.45">
      <c r="A40" s="13"/>
      <c r="B40" s="13"/>
      <c r="C40" s="13" t="s">
        <v>763</v>
      </c>
      <c r="D40" s="13" t="s">
        <v>764</v>
      </c>
      <c r="E40" s="13" t="s">
        <v>301</v>
      </c>
      <c r="F40" s="13" t="s">
        <v>905</v>
      </c>
      <c r="G40" s="13">
        <f>COUNTIF('Master Register'!$U$4:$U$178,$C40&amp;" "&amp;$D40)</f>
        <v>2</v>
      </c>
    </row>
    <row r="41" spans="1:7" x14ac:dyDescent="0.45">
      <c r="A41" s="13"/>
      <c r="B41" s="13"/>
      <c r="C41" s="13" t="s">
        <v>765</v>
      </c>
      <c r="D41" s="13" t="s">
        <v>766</v>
      </c>
      <c r="E41" s="13" t="s">
        <v>312</v>
      </c>
      <c r="F41" s="13" t="s">
        <v>1324</v>
      </c>
      <c r="G41" s="13">
        <f>COUNTIF('Master Register'!$U$4:$U$178,$C41&amp;" "&amp;$D41)</f>
        <v>3</v>
      </c>
    </row>
    <row r="42" spans="1:7" x14ac:dyDescent="0.45">
      <c r="A42" s="13"/>
      <c r="B42" s="13"/>
      <c r="C42" s="13" t="s">
        <v>767</v>
      </c>
      <c r="D42" s="13" t="s">
        <v>768</v>
      </c>
      <c r="E42" s="13" t="s">
        <v>319</v>
      </c>
      <c r="F42" s="13" t="s">
        <v>905</v>
      </c>
      <c r="G42" s="13">
        <f>COUNTIF('Master Register'!$U$4:$U$178,$C42&amp;" "&amp;$D42)</f>
        <v>1</v>
      </c>
    </row>
    <row r="43" spans="1:7" x14ac:dyDescent="0.45">
      <c r="A43" s="20" t="s">
        <v>769</v>
      </c>
      <c r="B43" s="20" t="s">
        <v>123</v>
      </c>
      <c r="C43" s="21"/>
      <c r="D43" s="21"/>
      <c r="E43" s="21"/>
      <c r="F43" s="21"/>
      <c r="G43" s="21"/>
    </row>
    <row r="44" spans="1:7" x14ac:dyDescent="0.45">
      <c r="A44" s="13"/>
      <c r="B44" s="13"/>
      <c r="C44" s="13" t="s">
        <v>770</v>
      </c>
      <c r="D44" s="13" t="s">
        <v>771</v>
      </c>
      <c r="E44" s="13" t="s">
        <v>125</v>
      </c>
      <c r="F44" s="13" t="s">
        <v>905</v>
      </c>
      <c r="G44" s="13">
        <f>COUNTIF('Master Register'!$U$4:$U$178,$C44&amp;" "&amp;$D44)</f>
        <v>1</v>
      </c>
    </row>
    <row r="45" spans="1:7" x14ac:dyDescent="0.45">
      <c r="A45" s="13"/>
      <c r="B45" s="13"/>
      <c r="C45" s="13" t="s">
        <v>772</v>
      </c>
      <c r="D45" s="13" t="s">
        <v>773</v>
      </c>
      <c r="E45" s="13" t="s">
        <v>130</v>
      </c>
      <c r="F45" s="13" t="s">
        <v>1323</v>
      </c>
      <c r="G45" s="13">
        <f>COUNTIF('Master Register'!$U$4:$U$178,$C45&amp;" "&amp;$D45)</f>
        <v>3</v>
      </c>
    </row>
    <row r="46" spans="1:7" x14ac:dyDescent="0.45">
      <c r="A46" s="13"/>
      <c r="B46" s="13"/>
      <c r="C46" s="13" t="s">
        <v>774</v>
      </c>
      <c r="D46" s="13" t="s">
        <v>775</v>
      </c>
      <c r="E46" s="13" t="s">
        <v>133</v>
      </c>
      <c r="F46" s="13" t="s">
        <v>1323</v>
      </c>
      <c r="G46" s="13">
        <f>COUNTIF('Master Register'!$U$4:$U$178,$C46&amp;" "&amp;$D46)</f>
        <v>1</v>
      </c>
    </row>
    <row r="47" spans="1:7" x14ac:dyDescent="0.45">
      <c r="A47" s="20" t="s">
        <v>776</v>
      </c>
      <c r="B47" s="20" t="s">
        <v>777</v>
      </c>
      <c r="C47" s="21"/>
      <c r="D47" s="21"/>
      <c r="E47" s="21"/>
      <c r="F47" s="21"/>
      <c r="G47" s="21"/>
    </row>
    <row r="48" spans="1:7" x14ac:dyDescent="0.45">
      <c r="A48" s="13"/>
      <c r="B48" s="13"/>
      <c r="C48" s="13" t="s">
        <v>778</v>
      </c>
      <c r="D48" s="13" t="s">
        <v>779</v>
      </c>
      <c r="E48" s="13" t="s">
        <v>332</v>
      </c>
      <c r="F48" s="13" t="s">
        <v>1323</v>
      </c>
      <c r="G48" s="13">
        <f>COUNTIF('Master Register'!$U$4:$U$178,$C48&amp;" "&amp;$D48)</f>
        <v>4</v>
      </c>
    </row>
    <row r="49" spans="1:7" x14ac:dyDescent="0.45">
      <c r="A49" s="13"/>
      <c r="B49" s="13"/>
      <c r="C49" s="13" t="s">
        <v>780</v>
      </c>
      <c r="D49" s="13" t="s">
        <v>781</v>
      </c>
      <c r="E49" s="13" t="s">
        <v>349</v>
      </c>
      <c r="F49" s="13" t="s">
        <v>905</v>
      </c>
      <c r="G49" s="13">
        <f>COUNTIF('Master Register'!$U$4:$U$178,$C49&amp;" "&amp;$D49)</f>
        <v>4</v>
      </c>
    </row>
    <row r="50" spans="1:7" x14ac:dyDescent="0.45">
      <c r="A50" s="13"/>
      <c r="B50" s="13"/>
      <c r="C50" s="13" t="s">
        <v>782</v>
      </c>
      <c r="D50" s="13" t="s">
        <v>783</v>
      </c>
      <c r="E50" s="13" t="s">
        <v>357</v>
      </c>
      <c r="F50" s="13" t="s">
        <v>1326</v>
      </c>
      <c r="G50" s="13">
        <f>COUNTIF('Master Register'!$U$4:$U$178,$C50&amp;" "&amp;$D50)</f>
        <v>3</v>
      </c>
    </row>
    <row r="51" spans="1:7" x14ac:dyDescent="0.45">
      <c r="A51" s="13"/>
      <c r="B51" s="13"/>
      <c r="C51" s="13" t="s">
        <v>784</v>
      </c>
      <c r="D51" s="13" t="s">
        <v>785</v>
      </c>
      <c r="E51" s="13" t="s">
        <v>678</v>
      </c>
      <c r="F51" s="13" t="s">
        <v>1323</v>
      </c>
      <c r="G51" s="13">
        <f>COUNTIF('Master Register'!$U$4:$U$178,$C51&amp;" "&amp;$D51)</f>
        <v>1</v>
      </c>
    </row>
    <row r="52" spans="1:7" x14ac:dyDescent="0.45">
      <c r="A52" s="20" t="s">
        <v>786</v>
      </c>
      <c r="B52" s="20" t="s">
        <v>135</v>
      </c>
      <c r="C52" s="21"/>
      <c r="D52" s="21"/>
      <c r="E52" s="21"/>
      <c r="F52" s="21"/>
      <c r="G52" s="21"/>
    </row>
    <row r="53" spans="1:7" x14ac:dyDescent="0.45">
      <c r="A53" s="13"/>
      <c r="B53" s="13"/>
      <c r="C53" s="13" t="s">
        <v>787</v>
      </c>
      <c r="D53" s="13" t="s">
        <v>788</v>
      </c>
      <c r="E53" s="13" t="s">
        <v>373</v>
      </c>
      <c r="F53" s="13" t="s">
        <v>1323</v>
      </c>
      <c r="G53" s="13">
        <f>COUNTIF('Master Register'!$U$4:$U$178,$C53&amp;" "&amp;$D53)</f>
        <v>3</v>
      </c>
    </row>
    <row r="54" spans="1:7" x14ac:dyDescent="0.45">
      <c r="A54" s="13"/>
      <c r="B54" s="13"/>
      <c r="C54" s="13" t="s">
        <v>789</v>
      </c>
      <c r="D54" s="13" t="s">
        <v>790</v>
      </c>
      <c r="E54" s="13" t="s">
        <v>137</v>
      </c>
      <c r="F54" s="13" t="s">
        <v>1323</v>
      </c>
      <c r="G54" s="13">
        <f>COUNTIF('Master Register'!$U$4:$U$178,$C54&amp;" "&amp;$D54)</f>
        <v>2</v>
      </c>
    </row>
    <row r="55" spans="1:7" x14ac:dyDescent="0.45">
      <c r="A55" s="20" t="s">
        <v>791</v>
      </c>
      <c r="B55" s="20" t="s">
        <v>139</v>
      </c>
      <c r="C55" s="21"/>
      <c r="D55" s="21"/>
      <c r="E55" s="21"/>
      <c r="F55" s="21"/>
      <c r="G55" s="21"/>
    </row>
    <row r="56" spans="1:7" x14ac:dyDescent="0.45">
      <c r="A56" s="13"/>
      <c r="B56" s="13"/>
      <c r="C56" s="13" t="s">
        <v>792</v>
      </c>
      <c r="D56" s="13" t="s">
        <v>793</v>
      </c>
      <c r="E56" s="13" t="s">
        <v>141</v>
      </c>
      <c r="F56" s="13" t="s">
        <v>1324</v>
      </c>
      <c r="G56" s="13">
        <f>COUNTIF('Master Register'!$U$4:$U$178,$C56&amp;" "&amp;$D56)</f>
        <v>4</v>
      </c>
    </row>
    <row r="57" spans="1:7" x14ac:dyDescent="0.45">
      <c r="A57" s="13"/>
      <c r="B57" s="13"/>
      <c r="C57" s="13" t="s">
        <v>794</v>
      </c>
      <c r="D57" s="13" t="s">
        <v>795</v>
      </c>
      <c r="E57" s="13" t="s">
        <v>602</v>
      </c>
      <c r="F57" s="13" t="s">
        <v>1324</v>
      </c>
      <c r="G57" s="13">
        <f>COUNTIF('Master Register'!$U$4:$U$178,$C57&amp;" "&amp;$D57)</f>
        <v>2</v>
      </c>
    </row>
    <row r="58" spans="1:7" x14ac:dyDescent="0.45">
      <c r="A58" s="13"/>
      <c r="B58" s="13"/>
      <c r="C58" s="13" t="s">
        <v>796</v>
      </c>
      <c r="D58" s="13" t="s">
        <v>797</v>
      </c>
      <c r="E58" s="13" t="s">
        <v>392</v>
      </c>
      <c r="F58" s="13" t="s">
        <v>1324</v>
      </c>
      <c r="G58" s="13">
        <f>COUNTIF('Master Register'!$U$4:$U$178,$C58&amp;" "&amp;$D58)</f>
        <v>3</v>
      </c>
    </row>
    <row r="59" spans="1:7" x14ac:dyDescent="0.45">
      <c r="A59" s="20" t="s">
        <v>798</v>
      </c>
      <c r="B59" s="20" t="s">
        <v>143</v>
      </c>
      <c r="C59" s="21"/>
      <c r="D59" s="21"/>
      <c r="E59" s="21"/>
      <c r="F59" s="21"/>
      <c r="G59" s="21"/>
    </row>
    <row r="60" spans="1:7" x14ac:dyDescent="0.45">
      <c r="A60" s="13"/>
      <c r="B60" s="13"/>
      <c r="C60" s="13" t="s">
        <v>799</v>
      </c>
      <c r="D60" s="13" t="s">
        <v>800</v>
      </c>
      <c r="E60" s="13" t="s">
        <v>161</v>
      </c>
      <c r="F60" s="13" t="s">
        <v>1323</v>
      </c>
      <c r="G60" s="13">
        <f>COUNTIF('Master Register'!$U$4:$U$178,$C60&amp;" "&amp;$D60)</f>
        <v>3</v>
      </c>
    </row>
    <row r="61" spans="1:7" x14ac:dyDescent="0.45">
      <c r="A61" s="13"/>
      <c r="B61" s="13"/>
      <c r="C61" s="13" t="s">
        <v>801</v>
      </c>
      <c r="D61" s="13" t="s">
        <v>802</v>
      </c>
      <c r="E61" s="13" t="s">
        <v>407</v>
      </c>
      <c r="F61" s="13" t="s">
        <v>1323</v>
      </c>
      <c r="G61" s="13">
        <f>COUNTIF('Master Register'!$U$4:$U$178,$C61&amp;" "&amp;$D61)</f>
        <v>4</v>
      </c>
    </row>
    <row r="62" spans="1:7" x14ac:dyDescent="0.45">
      <c r="A62" s="13"/>
      <c r="B62" s="13"/>
      <c r="C62" s="13" t="s">
        <v>803</v>
      </c>
      <c r="D62" s="13" t="s">
        <v>804</v>
      </c>
      <c r="E62" s="13" t="s">
        <v>618</v>
      </c>
      <c r="F62" s="13" t="s">
        <v>1323</v>
      </c>
      <c r="G62" s="13">
        <f>COUNTIF('Master Register'!$U$4:$U$178,$C62&amp;" "&amp;$D62)</f>
        <v>4</v>
      </c>
    </row>
    <row r="63" spans="1:7" x14ac:dyDescent="0.45">
      <c r="A63" s="13"/>
      <c r="B63" s="13"/>
      <c r="C63" s="13" t="s">
        <v>805</v>
      </c>
      <c r="D63" s="13" t="s">
        <v>806</v>
      </c>
      <c r="E63" s="13" t="s">
        <v>145</v>
      </c>
      <c r="F63" s="13" t="s">
        <v>1326</v>
      </c>
      <c r="G63" s="13">
        <f>COUNTIF('Master Register'!$U$4:$U$178,$C63&amp;" "&amp;$D63)</f>
        <v>1</v>
      </c>
    </row>
    <row r="64" spans="1:7" x14ac:dyDescent="0.45">
      <c r="A64" s="20" t="s">
        <v>807</v>
      </c>
      <c r="B64" s="20" t="s">
        <v>808</v>
      </c>
      <c r="C64" s="21"/>
      <c r="D64" s="21"/>
      <c r="E64" s="21"/>
      <c r="F64" s="21"/>
      <c r="G64" s="21"/>
    </row>
    <row r="65" spans="1:7" x14ac:dyDescent="0.45">
      <c r="A65" s="13"/>
      <c r="B65" s="13"/>
      <c r="C65" s="13" t="s">
        <v>809</v>
      </c>
      <c r="D65" s="13" t="s">
        <v>810</v>
      </c>
      <c r="E65" s="13" t="s">
        <v>420</v>
      </c>
      <c r="F65" s="13" t="s">
        <v>1323</v>
      </c>
      <c r="G65" s="13">
        <f>COUNTIF('Master Register'!$U$4:$U$178,$C65&amp;" "&amp;$D65)</f>
        <v>2</v>
      </c>
    </row>
    <row r="66" spans="1:7" x14ac:dyDescent="0.45">
      <c r="A66" s="13"/>
      <c r="B66" s="13"/>
      <c r="C66" s="13" t="s">
        <v>811</v>
      </c>
      <c r="D66" s="13" t="s">
        <v>812</v>
      </c>
      <c r="E66" s="13" t="s">
        <v>424</v>
      </c>
      <c r="F66" s="13" t="s">
        <v>1323</v>
      </c>
      <c r="G66" s="13">
        <f>COUNTIF('Master Register'!$U$4:$U$178,$C66&amp;" "&amp;$D66)</f>
        <v>2</v>
      </c>
    </row>
    <row r="67" spans="1:7" x14ac:dyDescent="0.45">
      <c r="A67" s="20" t="s">
        <v>813</v>
      </c>
      <c r="B67" s="20" t="s">
        <v>814</v>
      </c>
      <c r="C67" s="21"/>
      <c r="D67" s="21"/>
      <c r="E67" s="21"/>
      <c r="F67" s="21"/>
      <c r="G67" s="21"/>
    </row>
    <row r="68" spans="1:7" x14ac:dyDescent="0.45">
      <c r="A68" s="13"/>
      <c r="B68" s="13"/>
      <c r="C68" s="13" t="s">
        <v>815</v>
      </c>
      <c r="D68" s="13" t="s">
        <v>816</v>
      </c>
      <c r="E68" s="13" t="s">
        <v>439</v>
      </c>
      <c r="F68" s="13" t="s">
        <v>1326</v>
      </c>
      <c r="G68" s="13">
        <f>COUNTIF('Master Register'!$U$4:$U$178,$C68&amp;" "&amp;$D68)</f>
        <v>5</v>
      </c>
    </row>
    <row r="69" spans="1:7" x14ac:dyDescent="0.45">
      <c r="A69" s="13"/>
      <c r="B69" s="13"/>
      <c r="C69" s="13" t="s">
        <v>817</v>
      </c>
      <c r="D69" s="13" t="s">
        <v>818</v>
      </c>
      <c r="E69" s="13" t="s">
        <v>433</v>
      </c>
      <c r="F69" s="13" t="s">
        <v>1326</v>
      </c>
      <c r="G69" s="13">
        <f>COUNTIF('Master Register'!$U$4:$U$178,$C69&amp;" "&amp;$D69)</f>
        <v>4</v>
      </c>
    </row>
    <row r="70" spans="1:7" x14ac:dyDescent="0.45">
      <c r="A70" s="13"/>
      <c r="B70" s="13"/>
      <c r="C70" s="13" t="s">
        <v>819</v>
      </c>
      <c r="D70" s="13" t="s">
        <v>820</v>
      </c>
      <c r="E70" s="13" t="s">
        <v>447</v>
      </c>
      <c r="F70" s="13" t="s">
        <v>905</v>
      </c>
      <c r="G70" s="13">
        <f>COUNTIF('Master Register'!$U$4:$U$178,$C70&amp;" "&amp;$D70)</f>
        <v>2</v>
      </c>
    </row>
    <row r="71" spans="1:7" x14ac:dyDescent="0.45">
      <c r="A71" s="13"/>
      <c r="B71" s="13"/>
      <c r="C71" s="13" t="s">
        <v>821</v>
      </c>
      <c r="D71" s="13" t="s">
        <v>822</v>
      </c>
      <c r="E71" s="13" t="s">
        <v>455</v>
      </c>
      <c r="F71" s="13" t="s">
        <v>1323</v>
      </c>
      <c r="G71" s="13">
        <f>COUNTIF('Master Register'!$U$4:$U$178,$C71&amp;" "&amp;$D71)</f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33"/>
  <sheetViews>
    <sheetView showGridLines="0" topLeftCell="A149" zoomScaleNormal="100" workbookViewId="0">
      <selection activeCell="A4" sqref="A4:A178"/>
    </sheetView>
  </sheetViews>
  <sheetFormatPr defaultColWidth="8.6640625" defaultRowHeight="14.25" x14ac:dyDescent="0.45"/>
  <cols>
    <col min="1" max="1" width="13" customWidth="1"/>
    <col min="2" max="2" width="30" customWidth="1"/>
    <col min="3" max="3" width="27" customWidth="1"/>
    <col min="4" max="4" width="42" customWidth="1"/>
    <col min="5" max="5" width="62" customWidth="1"/>
    <col min="6" max="7" width="16" customWidth="1"/>
    <col min="8" max="8" width="13" customWidth="1"/>
    <col min="9" max="9" width="28" customWidth="1"/>
    <col min="10" max="10" width="22" customWidth="1"/>
    <col min="11" max="11" width="28" customWidth="1"/>
    <col min="12" max="12" width="20" customWidth="1"/>
    <col min="13" max="14" width="22" customWidth="1"/>
    <col min="15" max="15" width="14" customWidth="1"/>
    <col min="16" max="16" width="15" customWidth="1"/>
    <col min="17" max="17" width="28" customWidth="1"/>
    <col min="18" max="18" width="23" customWidth="1"/>
    <col min="19" max="19" width="35" customWidth="1"/>
    <col min="20" max="20" width="24" customWidth="1"/>
    <col min="21" max="21" width="34" customWidth="1"/>
    <col min="22" max="22" width="8" customWidth="1"/>
    <col min="23" max="23" width="40" customWidth="1"/>
    <col min="24" max="24" width="15" customWidth="1"/>
    <col min="25" max="25" width="16" customWidth="1"/>
  </cols>
  <sheetData>
    <row r="1" spans="1:25" ht="30" customHeight="1" x14ac:dyDescent="0.45">
      <c r="A1" s="43" t="s">
        <v>823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3" spans="1:25" ht="33.75" customHeight="1" x14ac:dyDescent="0.45">
      <c r="A3" s="3" t="s">
        <v>10</v>
      </c>
      <c r="B3" s="3" t="s">
        <v>13</v>
      </c>
      <c r="C3" s="3" t="s">
        <v>824</v>
      </c>
      <c r="D3" s="3" t="s">
        <v>11</v>
      </c>
      <c r="E3" s="3" t="s">
        <v>825</v>
      </c>
      <c r="F3" s="3" t="s">
        <v>826</v>
      </c>
      <c r="G3" s="3" t="s">
        <v>827</v>
      </c>
      <c r="H3" s="3" t="s">
        <v>14</v>
      </c>
      <c r="I3" s="3" t="s">
        <v>828</v>
      </c>
      <c r="J3" s="3" t="s">
        <v>829</v>
      </c>
      <c r="K3" s="3" t="s">
        <v>830</v>
      </c>
      <c r="L3" s="3" t="s">
        <v>831</v>
      </c>
      <c r="M3" s="3" t="s">
        <v>1333</v>
      </c>
      <c r="N3" s="3" t="s">
        <v>832</v>
      </c>
      <c r="O3" s="3" t="s">
        <v>833</v>
      </c>
      <c r="P3" s="3" t="s">
        <v>834</v>
      </c>
      <c r="Q3" s="3" t="s">
        <v>835</v>
      </c>
      <c r="R3" s="3" t="s">
        <v>836</v>
      </c>
      <c r="S3" s="3" t="s">
        <v>837</v>
      </c>
      <c r="T3" s="18" t="s">
        <v>693</v>
      </c>
      <c r="U3" s="18" t="s">
        <v>695</v>
      </c>
      <c r="V3" s="18" t="s">
        <v>16</v>
      </c>
      <c r="W3" s="18" t="s">
        <v>17</v>
      </c>
      <c r="X3" s="18" t="s">
        <v>838</v>
      </c>
      <c r="Y3" s="18" t="s">
        <v>1342</v>
      </c>
    </row>
    <row r="4" spans="1:25" s="8" customFormat="1" ht="27" customHeight="1" x14ac:dyDescent="0.45">
      <c r="A4" s="4" t="s">
        <v>19</v>
      </c>
      <c r="B4" s="5" t="s">
        <v>22</v>
      </c>
      <c r="C4" s="5" t="s">
        <v>839</v>
      </c>
      <c r="D4" s="5" t="s">
        <v>20</v>
      </c>
      <c r="E4" s="5" t="s">
        <v>840</v>
      </c>
      <c r="F4" s="6" t="s">
        <v>841</v>
      </c>
      <c r="G4" s="6" t="s">
        <v>842</v>
      </c>
      <c r="H4" s="6" t="s">
        <v>23</v>
      </c>
      <c r="I4" s="5" t="s">
        <v>843</v>
      </c>
      <c r="J4" s="5" t="s">
        <v>844</v>
      </c>
      <c r="K4" s="5" t="s">
        <v>845</v>
      </c>
      <c r="L4" s="5" t="s">
        <v>846</v>
      </c>
      <c r="M4" s="5" t="s">
        <v>24</v>
      </c>
      <c r="N4" s="5" t="s">
        <v>847</v>
      </c>
      <c r="O4" s="7"/>
      <c r="P4" s="5"/>
      <c r="Q4" s="5"/>
      <c r="R4" s="5" t="s">
        <v>848</v>
      </c>
      <c r="S4" s="6"/>
      <c r="T4" s="19" t="s">
        <v>849</v>
      </c>
      <c r="U4" s="19" t="s">
        <v>850</v>
      </c>
      <c r="V4" s="19" t="s">
        <v>26</v>
      </c>
      <c r="W4" s="19" t="s">
        <v>27</v>
      </c>
      <c r="X4" s="19" t="s">
        <v>905</v>
      </c>
      <c r="Y4" s="19" t="s">
        <v>1343</v>
      </c>
    </row>
    <row r="5" spans="1:25" s="8" customFormat="1" ht="27" customHeight="1" x14ac:dyDescent="0.45">
      <c r="A5" s="4" t="s">
        <v>28</v>
      </c>
      <c r="B5" s="5" t="s">
        <v>22</v>
      </c>
      <c r="C5" s="5" t="s">
        <v>839</v>
      </c>
      <c r="D5" s="5" t="s">
        <v>31</v>
      </c>
      <c r="E5" s="5" t="s">
        <v>854</v>
      </c>
      <c r="F5" s="6" t="s">
        <v>841</v>
      </c>
      <c r="G5" s="6" t="s">
        <v>842</v>
      </c>
      <c r="H5" s="6" t="s">
        <v>23</v>
      </c>
      <c r="I5" s="5" t="s">
        <v>843</v>
      </c>
      <c r="J5" s="5" t="s">
        <v>844</v>
      </c>
      <c r="K5" s="5" t="s">
        <v>855</v>
      </c>
      <c r="L5" s="5" t="s">
        <v>852</v>
      </c>
      <c r="M5" s="5" t="s">
        <v>32</v>
      </c>
      <c r="N5" s="5" t="s">
        <v>856</v>
      </c>
      <c r="O5" s="7"/>
      <c r="P5" s="5"/>
      <c r="Q5" s="5"/>
      <c r="R5" s="5" t="s">
        <v>848</v>
      </c>
      <c r="S5" s="6"/>
      <c r="T5" s="19" t="s">
        <v>849</v>
      </c>
      <c r="U5" s="19" t="s">
        <v>850</v>
      </c>
      <c r="V5" s="19" t="s">
        <v>26</v>
      </c>
      <c r="W5" s="19" t="s">
        <v>33</v>
      </c>
      <c r="X5" s="19" t="s">
        <v>905</v>
      </c>
      <c r="Y5" s="19" t="s">
        <v>1343</v>
      </c>
    </row>
    <row r="6" spans="1:25" s="8" customFormat="1" ht="27" customHeight="1" x14ac:dyDescent="0.45">
      <c r="A6" s="4" t="s">
        <v>29</v>
      </c>
      <c r="B6" s="5" t="s">
        <v>22</v>
      </c>
      <c r="C6" s="5" t="s">
        <v>839</v>
      </c>
      <c r="D6" s="5" t="s">
        <v>35</v>
      </c>
      <c r="E6" s="5" t="s">
        <v>857</v>
      </c>
      <c r="F6" s="6" t="s">
        <v>841</v>
      </c>
      <c r="G6" s="6" t="s">
        <v>842</v>
      </c>
      <c r="H6" s="6" t="s">
        <v>23</v>
      </c>
      <c r="I6" s="5" t="s">
        <v>843</v>
      </c>
      <c r="J6" s="5" t="s">
        <v>844</v>
      </c>
      <c r="K6" s="5" t="s">
        <v>855</v>
      </c>
      <c r="L6" s="5" t="s">
        <v>846</v>
      </c>
      <c r="M6" s="5" t="s">
        <v>32</v>
      </c>
      <c r="N6" s="5" t="s">
        <v>856</v>
      </c>
      <c r="O6" s="7"/>
      <c r="P6" s="5"/>
      <c r="Q6" s="5"/>
      <c r="R6" s="5" t="s">
        <v>848</v>
      </c>
      <c r="S6" s="6"/>
      <c r="T6" s="19" t="s">
        <v>849</v>
      </c>
      <c r="U6" s="19" t="s">
        <v>850</v>
      </c>
      <c r="V6" s="19" t="s">
        <v>26</v>
      </c>
      <c r="W6" s="19" t="s">
        <v>36</v>
      </c>
      <c r="X6" s="19" t="s">
        <v>905</v>
      </c>
      <c r="Y6" s="19" t="s">
        <v>1343</v>
      </c>
    </row>
    <row r="7" spans="1:25" s="8" customFormat="1" ht="27" customHeight="1" x14ac:dyDescent="0.45">
      <c r="A7" s="4" t="s">
        <v>30</v>
      </c>
      <c r="B7" s="5" t="s">
        <v>22</v>
      </c>
      <c r="C7" s="5" t="s">
        <v>839</v>
      </c>
      <c r="D7" s="5" t="s">
        <v>57</v>
      </c>
      <c r="E7" s="5" t="s">
        <v>858</v>
      </c>
      <c r="F7" s="6" t="s">
        <v>841</v>
      </c>
      <c r="G7" s="6" t="s">
        <v>842</v>
      </c>
      <c r="H7" s="6" t="s">
        <v>58</v>
      </c>
      <c r="I7" s="5" t="s">
        <v>859</v>
      </c>
      <c r="J7" s="5" t="s">
        <v>844</v>
      </c>
      <c r="K7" s="5" t="s">
        <v>860</v>
      </c>
      <c r="L7" s="5" t="s">
        <v>852</v>
      </c>
      <c r="M7" s="5" t="s">
        <v>32</v>
      </c>
      <c r="N7" s="5" t="s">
        <v>861</v>
      </c>
      <c r="O7" s="7"/>
      <c r="P7" s="5"/>
      <c r="Q7" s="5"/>
      <c r="R7" s="5" t="s">
        <v>853</v>
      </c>
      <c r="S7" s="6"/>
      <c r="T7" s="19" t="s">
        <v>849</v>
      </c>
      <c r="U7" s="19" t="s">
        <v>850</v>
      </c>
      <c r="V7" s="19" t="s">
        <v>26</v>
      </c>
      <c r="W7" s="19" t="s">
        <v>59</v>
      </c>
      <c r="X7" s="19" t="s">
        <v>905</v>
      </c>
      <c r="Y7" s="19" t="s">
        <v>1343</v>
      </c>
    </row>
    <row r="8" spans="1:25" s="8" customFormat="1" ht="27" customHeight="1" x14ac:dyDescent="0.45">
      <c r="A8" s="4" t="s">
        <v>34</v>
      </c>
      <c r="B8" s="5" t="s">
        <v>22</v>
      </c>
      <c r="C8" s="5" t="s">
        <v>839</v>
      </c>
      <c r="D8" s="5" t="s">
        <v>61</v>
      </c>
      <c r="E8" s="5" t="s">
        <v>862</v>
      </c>
      <c r="F8" s="6" t="s">
        <v>841</v>
      </c>
      <c r="G8" s="6" t="s">
        <v>842</v>
      </c>
      <c r="H8" s="6" t="s">
        <v>58</v>
      </c>
      <c r="I8" s="5" t="s">
        <v>859</v>
      </c>
      <c r="J8" s="5" t="s">
        <v>844</v>
      </c>
      <c r="K8" s="5" t="s">
        <v>845</v>
      </c>
      <c r="L8" s="5" t="s">
        <v>852</v>
      </c>
      <c r="M8" s="5" t="s">
        <v>32</v>
      </c>
      <c r="N8" s="5" t="s">
        <v>856</v>
      </c>
      <c r="O8" s="7"/>
      <c r="P8" s="5"/>
      <c r="Q8" s="5"/>
      <c r="R8" s="5" t="s">
        <v>853</v>
      </c>
      <c r="S8" s="6"/>
      <c r="T8" s="19" t="s">
        <v>849</v>
      </c>
      <c r="U8" s="19" t="s">
        <v>850</v>
      </c>
      <c r="V8" s="19" t="s">
        <v>26</v>
      </c>
      <c r="W8" s="19" t="s">
        <v>62</v>
      </c>
      <c r="X8" s="19" t="s">
        <v>905</v>
      </c>
      <c r="Y8" s="19" t="s">
        <v>1343</v>
      </c>
    </row>
    <row r="9" spans="1:25" s="8" customFormat="1" ht="27" customHeight="1" x14ac:dyDescent="0.45">
      <c r="A9" s="4" t="s">
        <v>56</v>
      </c>
      <c r="B9" s="5" t="s">
        <v>22</v>
      </c>
      <c r="C9" s="5" t="s">
        <v>839</v>
      </c>
      <c r="D9" s="5" t="s">
        <v>38</v>
      </c>
      <c r="E9" s="5" t="s">
        <v>863</v>
      </c>
      <c r="F9" s="6" t="s">
        <v>841</v>
      </c>
      <c r="G9" s="6" t="s">
        <v>842</v>
      </c>
      <c r="H9" s="6" t="s">
        <v>23</v>
      </c>
      <c r="I9" s="5" t="s">
        <v>843</v>
      </c>
      <c r="J9" s="5" t="s">
        <v>844</v>
      </c>
      <c r="K9" s="5" t="s">
        <v>864</v>
      </c>
      <c r="L9" s="5" t="s">
        <v>852</v>
      </c>
      <c r="M9" s="5" t="s">
        <v>40</v>
      </c>
      <c r="N9" s="5" t="s">
        <v>847</v>
      </c>
      <c r="O9" s="7"/>
      <c r="P9" s="5"/>
      <c r="Q9" s="5"/>
      <c r="R9" s="5" t="s">
        <v>848</v>
      </c>
      <c r="S9" s="6"/>
      <c r="T9" s="19" t="s">
        <v>849</v>
      </c>
      <c r="U9" s="19" t="s">
        <v>865</v>
      </c>
      <c r="V9" s="19" t="s">
        <v>42</v>
      </c>
      <c r="W9" s="19" t="s">
        <v>43</v>
      </c>
      <c r="X9" s="19" t="s">
        <v>905</v>
      </c>
      <c r="Y9" s="19" t="s">
        <v>1343</v>
      </c>
    </row>
    <row r="10" spans="1:25" s="8" customFormat="1" ht="27" customHeight="1" x14ac:dyDescent="0.45">
      <c r="A10" s="4" t="s">
        <v>60</v>
      </c>
      <c r="B10" s="5" t="s">
        <v>22</v>
      </c>
      <c r="C10" s="5" t="s">
        <v>839</v>
      </c>
      <c r="D10" s="5" t="s">
        <v>45</v>
      </c>
      <c r="E10" s="5" t="s">
        <v>866</v>
      </c>
      <c r="F10" s="6" t="s">
        <v>841</v>
      </c>
      <c r="G10" s="6" t="s">
        <v>842</v>
      </c>
      <c r="H10" s="6" t="s">
        <v>23</v>
      </c>
      <c r="I10" s="5" t="s">
        <v>867</v>
      </c>
      <c r="J10" s="5" t="s">
        <v>845</v>
      </c>
      <c r="K10" s="5" t="s">
        <v>868</v>
      </c>
      <c r="L10" s="5" t="s">
        <v>846</v>
      </c>
      <c r="M10" s="5" t="s">
        <v>40</v>
      </c>
      <c r="N10" s="5" t="s">
        <v>869</v>
      </c>
      <c r="O10" s="7"/>
      <c r="P10" s="5"/>
      <c r="Q10" s="5"/>
      <c r="R10" s="5" t="s">
        <v>870</v>
      </c>
      <c r="S10" s="6"/>
      <c r="T10" s="19" t="s">
        <v>849</v>
      </c>
      <c r="U10" s="19" t="s">
        <v>871</v>
      </c>
      <c r="V10" s="19" t="s">
        <v>47</v>
      </c>
      <c r="W10" s="19" t="s">
        <v>48</v>
      </c>
      <c r="X10" s="19" t="s">
        <v>905</v>
      </c>
      <c r="Y10" s="19" t="s">
        <v>1343</v>
      </c>
    </row>
    <row r="11" spans="1:25" s="8" customFormat="1" ht="27" customHeight="1" x14ac:dyDescent="0.45">
      <c r="A11" s="4" t="s">
        <v>37</v>
      </c>
      <c r="B11" s="5" t="s">
        <v>22</v>
      </c>
      <c r="C11" s="5" t="s">
        <v>839</v>
      </c>
      <c r="D11" s="5" t="s">
        <v>50</v>
      </c>
      <c r="E11" s="5" t="s">
        <v>872</v>
      </c>
      <c r="F11" s="6" t="s">
        <v>841</v>
      </c>
      <c r="G11" s="6" t="s">
        <v>842</v>
      </c>
      <c r="H11" s="6" t="s">
        <v>23</v>
      </c>
      <c r="I11" s="5" t="s">
        <v>843</v>
      </c>
      <c r="J11" s="5" t="s">
        <v>873</v>
      </c>
      <c r="K11" s="5" t="s">
        <v>874</v>
      </c>
      <c r="L11" s="5" t="s">
        <v>846</v>
      </c>
      <c r="M11" s="5" t="s">
        <v>40</v>
      </c>
      <c r="N11" s="5" t="s">
        <v>875</v>
      </c>
      <c r="O11" s="7"/>
      <c r="P11" s="5"/>
      <c r="Q11" s="5"/>
      <c r="R11" s="5" t="s">
        <v>848</v>
      </c>
      <c r="S11" s="6"/>
      <c r="T11" s="19" t="s">
        <v>849</v>
      </c>
      <c r="U11" s="19" t="s">
        <v>871</v>
      </c>
      <c r="V11" s="19" t="s">
        <v>47</v>
      </c>
      <c r="W11" s="19" t="s">
        <v>51</v>
      </c>
      <c r="X11" s="19" t="s">
        <v>905</v>
      </c>
      <c r="Y11" s="19" t="s">
        <v>1343</v>
      </c>
    </row>
    <row r="12" spans="1:25" s="8" customFormat="1" ht="27" customHeight="1" x14ac:dyDescent="0.45">
      <c r="A12" s="4" t="s">
        <v>44</v>
      </c>
      <c r="B12" s="5" t="s">
        <v>22</v>
      </c>
      <c r="C12" s="5" t="s">
        <v>839</v>
      </c>
      <c r="D12" s="5" t="s">
        <v>52</v>
      </c>
      <c r="E12" s="5" t="s">
        <v>876</v>
      </c>
      <c r="F12" s="6" t="s">
        <v>841</v>
      </c>
      <c r="G12" s="6" t="s">
        <v>842</v>
      </c>
      <c r="H12" s="6" t="s">
        <v>23</v>
      </c>
      <c r="I12" s="5" t="s">
        <v>867</v>
      </c>
      <c r="J12" s="5" t="s">
        <v>877</v>
      </c>
      <c r="K12" s="5" t="s">
        <v>878</v>
      </c>
      <c r="L12" s="5" t="s">
        <v>879</v>
      </c>
      <c r="M12" s="5" t="s">
        <v>40</v>
      </c>
      <c r="N12" s="5" t="s">
        <v>847</v>
      </c>
      <c r="O12" s="7"/>
      <c r="P12" s="5"/>
      <c r="Q12" s="5"/>
      <c r="R12" s="5" t="s">
        <v>848</v>
      </c>
      <c r="S12" s="6"/>
      <c r="T12" s="19" t="s">
        <v>849</v>
      </c>
      <c r="U12" s="19" t="s">
        <v>871</v>
      </c>
      <c r="V12" s="19" t="s">
        <v>47</v>
      </c>
      <c r="W12" s="19" t="s">
        <v>53</v>
      </c>
      <c r="X12" s="19" t="s">
        <v>905</v>
      </c>
      <c r="Y12" s="19" t="s">
        <v>1343</v>
      </c>
    </row>
    <row r="13" spans="1:25" s="8" customFormat="1" ht="27" customHeight="1" x14ac:dyDescent="0.45">
      <c r="A13" s="4" t="s">
        <v>49</v>
      </c>
      <c r="B13" s="5" t="s">
        <v>22</v>
      </c>
      <c r="C13" s="5" t="s">
        <v>839</v>
      </c>
      <c r="D13" s="5" t="s">
        <v>54</v>
      </c>
      <c r="E13" s="5" t="s">
        <v>880</v>
      </c>
      <c r="F13" s="6" t="s">
        <v>841</v>
      </c>
      <c r="G13" s="6" t="s">
        <v>842</v>
      </c>
      <c r="H13" s="6" t="s">
        <v>23</v>
      </c>
      <c r="I13" s="5" t="s">
        <v>867</v>
      </c>
      <c r="J13" s="5" t="s">
        <v>845</v>
      </c>
      <c r="K13" s="5" t="s">
        <v>881</v>
      </c>
      <c r="L13" s="5" t="s">
        <v>879</v>
      </c>
      <c r="M13" s="5" t="s">
        <v>40</v>
      </c>
      <c r="N13" s="5" t="s">
        <v>869</v>
      </c>
      <c r="O13" s="7"/>
      <c r="P13" s="5"/>
      <c r="Q13" s="5"/>
      <c r="R13" s="5" t="s">
        <v>853</v>
      </c>
      <c r="S13" s="6"/>
      <c r="T13" s="19" t="s">
        <v>849</v>
      </c>
      <c r="U13" s="19" t="s">
        <v>871</v>
      </c>
      <c r="V13" s="19" t="s">
        <v>47</v>
      </c>
      <c r="W13" s="19" t="s">
        <v>55</v>
      </c>
      <c r="X13" s="19" t="s">
        <v>905</v>
      </c>
      <c r="Y13" s="19" t="s">
        <v>1343</v>
      </c>
    </row>
    <row r="14" spans="1:25" s="8" customFormat="1" ht="27" customHeight="1" x14ac:dyDescent="0.45">
      <c r="A14" s="4" t="s">
        <v>63</v>
      </c>
      <c r="B14" s="5" t="s">
        <v>22</v>
      </c>
      <c r="C14" s="5" t="s">
        <v>839</v>
      </c>
      <c r="D14" s="5" t="s">
        <v>64</v>
      </c>
      <c r="E14" s="5" t="s">
        <v>882</v>
      </c>
      <c r="F14" s="6" t="s">
        <v>841</v>
      </c>
      <c r="G14" s="6" t="s">
        <v>842</v>
      </c>
      <c r="H14" s="6" t="s">
        <v>58</v>
      </c>
      <c r="I14" s="5" t="s">
        <v>859</v>
      </c>
      <c r="J14" s="5" t="s">
        <v>845</v>
      </c>
      <c r="K14" s="5" t="s">
        <v>883</v>
      </c>
      <c r="L14" s="5" t="s">
        <v>852</v>
      </c>
      <c r="M14" s="5" t="s">
        <v>40</v>
      </c>
      <c r="N14" s="5" t="s">
        <v>847</v>
      </c>
      <c r="O14" s="7"/>
      <c r="P14" s="5"/>
      <c r="Q14" s="5"/>
      <c r="R14" s="5" t="s">
        <v>853</v>
      </c>
      <c r="S14" s="6"/>
      <c r="T14" s="19" t="s">
        <v>849</v>
      </c>
      <c r="U14" s="19" t="s">
        <v>871</v>
      </c>
      <c r="V14" s="19" t="s">
        <v>47</v>
      </c>
      <c r="W14" s="19" t="s">
        <v>65</v>
      </c>
      <c r="X14" s="19" t="s">
        <v>905</v>
      </c>
      <c r="Y14" s="19" t="s">
        <v>1343</v>
      </c>
    </row>
    <row r="15" spans="1:25" s="8" customFormat="1" ht="27" customHeight="1" x14ac:dyDescent="0.45">
      <c r="A15" s="4" t="s">
        <v>67</v>
      </c>
      <c r="B15" s="5" t="s">
        <v>69</v>
      </c>
      <c r="C15" s="5" t="s">
        <v>885</v>
      </c>
      <c r="D15" s="5" t="s">
        <v>68</v>
      </c>
      <c r="E15" s="5" t="s">
        <v>886</v>
      </c>
      <c r="F15" s="6" t="s">
        <v>841</v>
      </c>
      <c r="G15" s="6" t="s">
        <v>842</v>
      </c>
      <c r="H15" s="6" t="s">
        <v>23</v>
      </c>
      <c r="I15" s="5" t="s">
        <v>867</v>
      </c>
      <c r="J15" s="5" t="s">
        <v>845</v>
      </c>
      <c r="K15" s="5" t="s">
        <v>868</v>
      </c>
      <c r="L15" s="5" t="s">
        <v>879</v>
      </c>
      <c r="M15" s="5" t="s">
        <v>70</v>
      </c>
      <c r="N15" s="5" t="s">
        <v>887</v>
      </c>
      <c r="O15" s="7"/>
      <c r="P15" s="5"/>
      <c r="Q15" s="5"/>
      <c r="R15" s="5" t="s">
        <v>848</v>
      </c>
      <c r="S15" s="6"/>
      <c r="T15" s="19" t="s">
        <v>888</v>
      </c>
      <c r="U15" s="19" t="s">
        <v>889</v>
      </c>
      <c r="V15" s="19" t="s">
        <v>72</v>
      </c>
      <c r="W15" s="19" t="s">
        <v>73</v>
      </c>
      <c r="X15" s="19" t="s">
        <v>1326</v>
      </c>
      <c r="Y15" s="19" t="s">
        <v>1344</v>
      </c>
    </row>
    <row r="16" spans="1:25" s="8" customFormat="1" ht="27" customHeight="1" x14ac:dyDescent="0.45">
      <c r="A16" s="4" t="s">
        <v>74</v>
      </c>
      <c r="B16" s="5" t="s">
        <v>69</v>
      </c>
      <c r="C16" s="5" t="s">
        <v>885</v>
      </c>
      <c r="D16" s="5" t="s">
        <v>75</v>
      </c>
      <c r="E16" s="5" t="s">
        <v>890</v>
      </c>
      <c r="F16" s="6" t="s">
        <v>841</v>
      </c>
      <c r="G16" s="6" t="s">
        <v>842</v>
      </c>
      <c r="H16" s="6" t="s">
        <v>23</v>
      </c>
      <c r="I16" s="5" t="s">
        <v>867</v>
      </c>
      <c r="J16" s="5" t="s">
        <v>877</v>
      </c>
      <c r="K16" s="5" t="s">
        <v>891</v>
      </c>
      <c r="L16" s="5" t="s">
        <v>892</v>
      </c>
      <c r="M16" s="5" t="s">
        <v>76</v>
      </c>
      <c r="N16" s="5" t="s">
        <v>847</v>
      </c>
      <c r="O16" s="7"/>
      <c r="P16" s="5"/>
      <c r="Q16" s="5"/>
      <c r="R16" s="5" t="s">
        <v>870</v>
      </c>
      <c r="S16" s="6"/>
      <c r="T16" s="19" t="s">
        <v>888</v>
      </c>
      <c r="U16" s="19" t="s">
        <v>893</v>
      </c>
      <c r="V16" s="19" t="s">
        <v>78</v>
      </c>
      <c r="W16" s="19" t="s">
        <v>79</v>
      </c>
      <c r="X16" s="19" t="s">
        <v>1326</v>
      </c>
      <c r="Y16" s="19" t="s">
        <v>1344</v>
      </c>
    </row>
    <row r="17" spans="1:25" s="8" customFormat="1" ht="27" customHeight="1" x14ac:dyDescent="0.45">
      <c r="A17" s="4" t="s">
        <v>80</v>
      </c>
      <c r="B17" s="5" t="s">
        <v>69</v>
      </c>
      <c r="C17" s="5" t="s">
        <v>885</v>
      </c>
      <c r="D17" s="5" t="s">
        <v>81</v>
      </c>
      <c r="E17" s="5" t="s">
        <v>894</v>
      </c>
      <c r="F17" s="6" t="s">
        <v>841</v>
      </c>
      <c r="G17" s="6" t="s">
        <v>842</v>
      </c>
      <c r="H17" s="6" t="s">
        <v>23</v>
      </c>
      <c r="I17" s="5" t="s">
        <v>859</v>
      </c>
      <c r="J17" s="5" t="s">
        <v>845</v>
      </c>
      <c r="K17" s="5" t="s">
        <v>895</v>
      </c>
      <c r="L17" s="5" t="s">
        <v>852</v>
      </c>
      <c r="M17" s="5" t="s">
        <v>76</v>
      </c>
      <c r="N17" s="5" t="s">
        <v>896</v>
      </c>
      <c r="O17" s="7"/>
      <c r="P17" s="5"/>
      <c r="Q17" s="5"/>
      <c r="R17" s="5" t="s">
        <v>897</v>
      </c>
      <c r="S17" s="6"/>
      <c r="T17" s="19" t="s">
        <v>888</v>
      </c>
      <c r="U17" s="19" t="s">
        <v>893</v>
      </c>
      <c r="V17" s="19" t="s">
        <v>78</v>
      </c>
      <c r="W17" s="19" t="s">
        <v>82</v>
      </c>
      <c r="X17" s="19" t="s">
        <v>1326</v>
      </c>
      <c r="Y17" s="19" t="s">
        <v>1344</v>
      </c>
    </row>
    <row r="18" spans="1:25" s="8" customFormat="1" ht="27" customHeight="1" x14ac:dyDescent="0.45">
      <c r="A18" s="4" t="s">
        <v>83</v>
      </c>
      <c r="B18" s="5" t="s">
        <v>69</v>
      </c>
      <c r="C18" s="5" t="s">
        <v>885</v>
      </c>
      <c r="D18" s="5" t="s">
        <v>89</v>
      </c>
      <c r="E18" s="5" t="s">
        <v>901</v>
      </c>
      <c r="F18" s="6" t="s">
        <v>841</v>
      </c>
      <c r="G18" s="6" t="s">
        <v>842</v>
      </c>
      <c r="H18" s="6" t="s">
        <v>23</v>
      </c>
      <c r="I18" s="5" t="s">
        <v>843</v>
      </c>
      <c r="J18" s="5" t="s">
        <v>851</v>
      </c>
      <c r="K18" s="5" t="s">
        <v>845</v>
      </c>
      <c r="L18" s="5" t="s">
        <v>846</v>
      </c>
      <c r="M18" s="5" t="s">
        <v>70</v>
      </c>
      <c r="N18" s="5" t="s">
        <v>899</v>
      </c>
      <c r="O18" s="7"/>
      <c r="P18" s="5"/>
      <c r="Q18" s="5"/>
      <c r="R18" s="5" t="s">
        <v>848</v>
      </c>
      <c r="S18" s="6"/>
      <c r="T18" s="19" t="s">
        <v>888</v>
      </c>
      <c r="U18" s="19" t="s">
        <v>900</v>
      </c>
      <c r="V18" s="19" t="s">
        <v>87</v>
      </c>
      <c r="W18" s="19" t="s">
        <v>90</v>
      </c>
      <c r="X18" s="19" t="s">
        <v>1323</v>
      </c>
      <c r="Y18" s="19" t="s">
        <v>1344</v>
      </c>
    </row>
    <row r="19" spans="1:25" s="8" customFormat="1" ht="27" customHeight="1" x14ac:dyDescent="0.45">
      <c r="A19" s="4" t="s">
        <v>84</v>
      </c>
      <c r="B19" s="5" t="s">
        <v>69</v>
      </c>
      <c r="C19" s="5" t="s">
        <v>885</v>
      </c>
      <c r="D19" s="5" t="s">
        <v>92</v>
      </c>
      <c r="E19" s="5" t="s">
        <v>902</v>
      </c>
      <c r="F19" s="6" t="s">
        <v>841</v>
      </c>
      <c r="G19" s="6" t="s">
        <v>842</v>
      </c>
      <c r="H19" s="6" t="s">
        <v>23</v>
      </c>
      <c r="I19" s="5" t="s">
        <v>843</v>
      </c>
      <c r="J19" s="5" t="s">
        <v>851</v>
      </c>
      <c r="K19" s="5" t="s">
        <v>891</v>
      </c>
      <c r="L19" s="5" t="s">
        <v>846</v>
      </c>
      <c r="M19" s="5" t="s">
        <v>70</v>
      </c>
      <c r="N19" s="5" t="s">
        <v>903</v>
      </c>
      <c r="O19" s="7"/>
      <c r="P19" s="5"/>
      <c r="Q19" s="5"/>
      <c r="R19" s="5" t="s">
        <v>853</v>
      </c>
      <c r="S19" s="6"/>
      <c r="T19" s="19" t="s">
        <v>888</v>
      </c>
      <c r="U19" s="19" t="s">
        <v>900</v>
      </c>
      <c r="V19" s="19" t="s">
        <v>87</v>
      </c>
      <c r="W19" s="19" t="s">
        <v>93</v>
      </c>
      <c r="X19" s="19" t="s">
        <v>1323</v>
      </c>
      <c r="Y19" s="19" t="s">
        <v>1344</v>
      </c>
    </row>
    <row r="20" spans="1:25" s="8" customFormat="1" ht="27" customHeight="1" x14ac:dyDescent="0.45">
      <c r="A20" s="4" t="s">
        <v>85</v>
      </c>
      <c r="B20" s="5" t="s">
        <v>69</v>
      </c>
      <c r="C20" s="5" t="s">
        <v>885</v>
      </c>
      <c r="D20" s="5" t="s">
        <v>95</v>
      </c>
      <c r="E20" s="5" t="s">
        <v>904</v>
      </c>
      <c r="F20" s="6" t="s">
        <v>841</v>
      </c>
      <c r="G20" s="6" t="s">
        <v>842</v>
      </c>
      <c r="H20" s="6" t="s">
        <v>23</v>
      </c>
      <c r="I20" s="5" t="s">
        <v>867</v>
      </c>
      <c r="J20" s="5" t="s">
        <v>905</v>
      </c>
      <c r="K20" s="5" t="s">
        <v>906</v>
      </c>
      <c r="L20" s="5" t="s">
        <v>884</v>
      </c>
      <c r="M20" s="5" t="s">
        <v>76</v>
      </c>
      <c r="N20" s="5" t="s">
        <v>907</v>
      </c>
      <c r="O20" s="7"/>
      <c r="P20" s="5"/>
      <c r="Q20" s="5"/>
      <c r="R20" s="5" t="s">
        <v>870</v>
      </c>
      <c r="S20" s="6"/>
      <c r="T20" s="19" t="s">
        <v>888</v>
      </c>
      <c r="U20" s="19" t="s">
        <v>908</v>
      </c>
      <c r="V20" s="19" t="s">
        <v>97</v>
      </c>
      <c r="W20" s="19" t="s">
        <v>98</v>
      </c>
      <c r="X20" s="19" t="s">
        <v>905</v>
      </c>
      <c r="Y20" s="19" t="s">
        <v>1344</v>
      </c>
    </row>
    <row r="21" spans="1:25" s="8" customFormat="1" ht="27" customHeight="1" x14ac:dyDescent="0.45">
      <c r="A21" s="4" t="s">
        <v>88</v>
      </c>
      <c r="B21" s="5" t="s">
        <v>69</v>
      </c>
      <c r="C21" s="5" t="s">
        <v>885</v>
      </c>
      <c r="D21" s="5" t="s">
        <v>100</v>
      </c>
      <c r="E21" s="5" t="s">
        <v>909</v>
      </c>
      <c r="F21" s="6" t="s">
        <v>841</v>
      </c>
      <c r="G21" s="6" t="s">
        <v>842</v>
      </c>
      <c r="H21" s="6" t="s">
        <v>23</v>
      </c>
      <c r="I21" s="5" t="s">
        <v>843</v>
      </c>
      <c r="J21" s="5" t="s">
        <v>905</v>
      </c>
      <c r="K21" s="5" t="s">
        <v>844</v>
      </c>
      <c r="L21" s="5" t="s">
        <v>846</v>
      </c>
      <c r="M21" s="5" t="s">
        <v>76</v>
      </c>
      <c r="N21" s="5" t="s">
        <v>847</v>
      </c>
      <c r="O21" s="7"/>
      <c r="P21" s="5"/>
      <c r="Q21" s="5"/>
      <c r="R21" s="5" t="s">
        <v>853</v>
      </c>
      <c r="S21" s="6"/>
      <c r="T21" s="19" t="s">
        <v>888</v>
      </c>
      <c r="U21" s="19" t="s">
        <v>908</v>
      </c>
      <c r="V21" s="19" t="s">
        <v>97</v>
      </c>
      <c r="W21" s="19" t="s">
        <v>101</v>
      </c>
      <c r="X21" s="19" t="s">
        <v>905</v>
      </c>
      <c r="Y21" s="19" t="s">
        <v>1344</v>
      </c>
    </row>
    <row r="22" spans="1:25" s="8" customFormat="1" ht="27" customHeight="1" x14ac:dyDescent="0.45">
      <c r="A22" s="4" t="s">
        <v>91</v>
      </c>
      <c r="B22" s="5" t="s">
        <v>69</v>
      </c>
      <c r="C22" s="5" t="s">
        <v>885</v>
      </c>
      <c r="D22" s="5" t="s">
        <v>103</v>
      </c>
      <c r="E22" s="5" t="s">
        <v>910</v>
      </c>
      <c r="F22" s="6" t="s">
        <v>841</v>
      </c>
      <c r="G22" s="6" t="s">
        <v>842</v>
      </c>
      <c r="H22" s="6" t="s">
        <v>23</v>
      </c>
      <c r="I22" s="5" t="s">
        <v>843</v>
      </c>
      <c r="J22" s="5" t="s">
        <v>845</v>
      </c>
      <c r="K22" s="5" t="s">
        <v>911</v>
      </c>
      <c r="L22" s="5" t="s">
        <v>846</v>
      </c>
      <c r="M22" s="5" t="s">
        <v>76</v>
      </c>
      <c r="N22" s="5" t="s">
        <v>907</v>
      </c>
      <c r="O22" s="7"/>
      <c r="P22" s="5"/>
      <c r="Q22" s="5"/>
      <c r="R22" s="5" t="s">
        <v>853</v>
      </c>
      <c r="S22" s="6"/>
      <c r="T22" s="19" t="s">
        <v>888</v>
      </c>
      <c r="U22" s="19" t="s">
        <v>893</v>
      </c>
      <c r="V22" s="19" t="s">
        <v>78</v>
      </c>
      <c r="W22" s="19" t="s">
        <v>104</v>
      </c>
      <c r="X22" s="19" t="s">
        <v>1326</v>
      </c>
      <c r="Y22" s="19" t="s">
        <v>1344</v>
      </c>
    </row>
    <row r="23" spans="1:25" s="8" customFormat="1" ht="27" customHeight="1" x14ac:dyDescent="0.45">
      <c r="A23" s="4" t="s">
        <v>94</v>
      </c>
      <c r="B23" s="5" t="s">
        <v>69</v>
      </c>
      <c r="C23" s="5" t="s">
        <v>885</v>
      </c>
      <c r="D23" s="5" t="s">
        <v>106</v>
      </c>
      <c r="E23" s="5" t="s">
        <v>912</v>
      </c>
      <c r="F23" s="6" t="s">
        <v>841</v>
      </c>
      <c r="G23" s="6" t="s">
        <v>842</v>
      </c>
      <c r="H23" s="6" t="s">
        <v>23</v>
      </c>
      <c r="I23" s="5" t="s">
        <v>867</v>
      </c>
      <c r="J23" s="5" t="s">
        <v>845</v>
      </c>
      <c r="K23" s="5" t="s">
        <v>913</v>
      </c>
      <c r="L23" s="5" t="s">
        <v>879</v>
      </c>
      <c r="M23" s="5" t="s">
        <v>70</v>
      </c>
      <c r="N23" s="5" t="s">
        <v>914</v>
      </c>
      <c r="O23" s="7"/>
      <c r="P23" s="5"/>
      <c r="Q23" s="5"/>
      <c r="R23" s="5" t="s">
        <v>897</v>
      </c>
      <c r="S23" s="6"/>
      <c r="T23" s="19" t="s">
        <v>888</v>
      </c>
      <c r="U23" s="19" t="s">
        <v>915</v>
      </c>
      <c r="V23" s="19" t="s">
        <v>108</v>
      </c>
      <c r="W23" s="19" t="s">
        <v>109</v>
      </c>
      <c r="X23" s="19" t="s">
        <v>1326</v>
      </c>
      <c r="Y23" s="19" t="s">
        <v>1344</v>
      </c>
    </row>
    <row r="24" spans="1:25" s="8" customFormat="1" ht="27" customHeight="1" x14ac:dyDescent="0.45">
      <c r="A24" s="4" t="s">
        <v>99</v>
      </c>
      <c r="B24" s="5" t="s">
        <v>69</v>
      </c>
      <c r="C24" s="5" t="s">
        <v>885</v>
      </c>
      <c r="D24" s="5" t="s">
        <v>147</v>
      </c>
      <c r="E24" s="5" t="s">
        <v>916</v>
      </c>
      <c r="F24" s="6" t="s">
        <v>841</v>
      </c>
      <c r="G24" s="6" t="s">
        <v>842</v>
      </c>
      <c r="H24" s="6" t="s">
        <v>58</v>
      </c>
      <c r="I24" s="5" t="s">
        <v>867</v>
      </c>
      <c r="J24" s="5" t="s">
        <v>845</v>
      </c>
      <c r="K24" s="5" t="s">
        <v>917</v>
      </c>
      <c r="L24" s="5" t="s">
        <v>884</v>
      </c>
      <c r="M24" s="5" t="s">
        <v>148</v>
      </c>
      <c r="N24" s="5" t="s">
        <v>918</v>
      </c>
      <c r="O24" s="7"/>
      <c r="P24" s="5"/>
      <c r="Q24" s="5"/>
      <c r="R24" s="5" t="s">
        <v>853</v>
      </c>
      <c r="S24" s="6"/>
      <c r="T24" s="19" t="s">
        <v>888</v>
      </c>
      <c r="U24" s="19" t="s">
        <v>915</v>
      </c>
      <c r="V24" s="19" t="s">
        <v>108</v>
      </c>
      <c r="W24" s="19" t="s">
        <v>149</v>
      </c>
      <c r="X24" s="19" t="s">
        <v>1326</v>
      </c>
      <c r="Y24" s="19" t="s">
        <v>1344</v>
      </c>
    </row>
    <row r="25" spans="1:25" s="8" customFormat="1" ht="27" customHeight="1" x14ac:dyDescent="0.45">
      <c r="A25" s="4" t="s">
        <v>102</v>
      </c>
      <c r="B25" s="5" t="s">
        <v>69</v>
      </c>
      <c r="C25" s="5" t="s">
        <v>885</v>
      </c>
      <c r="D25" s="5" t="s">
        <v>1334</v>
      </c>
      <c r="E25" s="5" t="s">
        <v>920</v>
      </c>
      <c r="F25" s="6" t="s">
        <v>841</v>
      </c>
      <c r="G25" s="6" t="s">
        <v>842</v>
      </c>
      <c r="H25" s="6" t="s">
        <v>23</v>
      </c>
      <c r="I25" s="5" t="s">
        <v>867</v>
      </c>
      <c r="J25" s="5" t="s">
        <v>877</v>
      </c>
      <c r="K25" s="5" t="s">
        <v>921</v>
      </c>
      <c r="L25" s="5" t="s">
        <v>879</v>
      </c>
      <c r="M25" s="5" t="s">
        <v>111</v>
      </c>
      <c r="N25" s="5" t="s">
        <v>847</v>
      </c>
      <c r="O25" s="7"/>
      <c r="P25" s="5"/>
      <c r="Q25" s="5"/>
      <c r="R25" s="5" t="s">
        <v>853</v>
      </c>
      <c r="S25" s="6"/>
      <c r="T25" s="19" t="s">
        <v>888</v>
      </c>
      <c r="U25" s="19" t="s">
        <v>889</v>
      </c>
      <c r="V25" s="19" t="s">
        <v>72</v>
      </c>
      <c r="W25" s="19" t="s">
        <v>112</v>
      </c>
      <c r="X25" s="19" t="s">
        <v>1326</v>
      </c>
      <c r="Y25" s="19" t="s">
        <v>1344</v>
      </c>
    </row>
    <row r="26" spans="1:25" s="8" customFormat="1" ht="27" customHeight="1" x14ac:dyDescent="0.45">
      <c r="A26" s="4" t="s">
        <v>105</v>
      </c>
      <c r="B26" s="5" t="s">
        <v>69</v>
      </c>
      <c r="C26" s="5" t="s">
        <v>885</v>
      </c>
      <c r="D26" s="5" t="s">
        <v>113</v>
      </c>
      <c r="E26" s="5" t="s">
        <v>922</v>
      </c>
      <c r="F26" s="6" t="s">
        <v>841</v>
      </c>
      <c r="G26" s="6" t="s">
        <v>842</v>
      </c>
      <c r="H26" s="6" t="s">
        <v>23</v>
      </c>
      <c r="I26" s="5" t="s">
        <v>859</v>
      </c>
      <c r="J26" s="5" t="s">
        <v>845</v>
      </c>
      <c r="K26" s="5" t="s">
        <v>923</v>
      </c>
      <c r="L26" s="5" t="s">
        <v>852</v>
      </c>
      <c r="M26" s="5" t="s">
        <v>76</v>
      </c>
      <c r="N26" s="5" t="s">
        <v>924</v>
      </c>
      <c r="O26" s="7"/>
      <c r="P26" s="5"/>
      <c r="Q26" s="5"/>
      <c r="R26" s="5" t="s">
        <v>870</v>
      </c>
      <c r="S26" s="6"/>
      <c r="T26" s="19" t="s">
        <v>888</v>
      </c>
      <c r="U26" s="19" t="s">
        <v>893</v>
      </c>
      <c r="V26" s="19" t="s">
        <v>78</v>
      </c>
      <c r="W26" s="19" t="s">
        <v>114</v>
      </c>
      <c r="X26" s="19" t="s">
        <v>1326</v>
      </c>
      <c r="Y26" s="19" t="s">
        <v>1344</v>
      </c>
    </row>
    <row r="27" spans="1:25" s="8" customFormat="1" ht="27" customHeight="1" x14ac:dyDescent="0.45">
      <c r="A27" s="4" t="s">
        <v>146</v>
      </c>
      <c r="B27" s="5" t="s">
        <v>69</v>
      </c>
      <c r="C27" s="5" t="s">
        <v>885</v>
      </c>
      <c r="D27" s="5" t="s">
        <v>151</v>
      </c>
      <c r="E27" s="5" t="s">
        <v>926</v>
      </c>
      <c r="F27" s="6" t="s">
        <v>841</v>
      </c>
      <c r="G27" s="6" t="s">
        <v>842</v>
      </c>
      <c r="H27" s="6" t="s">
        <v>58</v>
      </c>
      <c r="I27" s="5" t="s">
        <v>859</v>
      </c>
      <c r="J27" s="5" t="s">
        <v>895</v>
      </c>
      <c r="K27" s="5" t="s">
        <v>845</v>
      </c>
      <c r="L27" s="5" t="s">
        <v>852</v>
      </c>
      <c r="M27" s="5" t="s">
        <v>76</v>
      </c>
      <c r="N27" s="5" t="s">
        <v>847</v>
      </c>
      <c r="O27" s="7"/>
      <c r="P27" s="5"/>
      <c r="Q27" s="5"/>
      <c r="R27" s="5" t="s">
        <v>853</v>
      </c>
      <c r="S27" s="6"/>
      <c r="T27" s="19" t="s">
        <v>888</v>
      </c>
      <c r="U27" s="19" t="s">
        <v>915</v>
      </c>
      <c r="V27" s="19" t="s">
        <v>108</v>
      </c>
      <c r="W27" s="19" t="s">
        <v>152</v>
      </c>
      <c r="X27" s="19" t="s">
        <v>1326</v>
      </c>
      <c r="Y27" s="19" t="s">
        <v>1344</v>
      </c>
    </row>
    <row r="28" spans="1:25" s="8" customFormat="1" ht="27" customHeight="1" x14ac:dyDescent="0.45">
      <c r="A28" s="4" t="s">
        <v>110</v>
      </c>
      <c r="B28" s="5" t="s">
        <v>69</v>
      </c>
      <c r="C28" s="5" t="s">
        <v>885</v>
      </c>
      <c r="D28" s="5" t="s">
        <v>153</v>
      </c>
      <c r="E28" s="5" t="s">
        <v>927</v>
      </c>
      <c r="F28" s="6" t="s">
        <v>841</v>
      </c>
      <c r="G28" s="6" t="s">
        <v>842</v>
      </c>
      <c r="H28" s="6" t="s">
        <v>58</v>
      </c>
      <c r="I28" s="5" t="s">
        <v>859</v>
      </c>
      <c r="J28" s="5" t="s">
        <v>895</v>
      </c>
      <c r="K28" s="5" t="s">
        <v>845</v>
      </c>
      <c r="L28" s="5" t="s">
        <v>852</v>
      </c>
      <c r="M28" s="5" t="s">
        <v>111</v>
      </c>
      <c r="N28" s="5" t="s">
        <v>847</v>
      </c>
      <c r="O28" s="7"/>
      <c r="P28" s="5"/>
      <c r="Q28" s="5"/>
      <c r="R28" s="5" t="s">
        <v>853</v>
      </c>
      <c r="S28" s="6"/>
      <c r="T28" s="19" t="s">
        <v>888</v>
      </c>
      <c r="U28" s="19" t="s">
        <v>915</v>
      </c>
      <c r="V28" s="19" t="s">
        <v>108</v>
      </c>
      <c r="W28" s="19" t="s">
        <v>154</v>
      </c>
      <c r="X28" s="19" t="s">
        <v>1326</v>
      </c>
      <c r="Y28" s="19" t="s">
        <v>1344</v>
      </c>
    </row>
    <row r="29" spans="1:25" s="8" customFormat="1" ht="27" customHeight="1" x14ac:dyDescent="0.45">
      <c r="A29" s="4" t="s">
        <v>164</v>
      </c>
      <c r="B29" s="5" t="s">
        <v>166</v>
      </c>
      <c r="C29" s="5" t="s">
        <v>928</v>
      </c>
      <c r="D29" s="5" t="s">
        <v>165</v>
      </c>
      <c r="E29" s="5" t="s">
        <v>929</v>
      </c>
      <c r="F29" s="6" t="s">
        <v>841</v>
      </c>
      <c r="G29" s="6" t="s">
        <v>842</v>
      </c>
      <c r="H29" s="6" t="s">
        <v>23</v>
      </c>
      <c r="I29" s="5" t="s">
        <v>843</v>
      </c>
      <c r="J29" s="5" t="s">
        <v>845</v>
      </c>
      <c r="K29" s="5" t="s">
        <v>930</v>
      </c>
      <c r="L29" s="5" t="s">
        <v>846</v>
      </c>
      <c r="M29" s="5" t="s">
        <v>167</v>
      </c>
      <c r="N29" s="5" t="s">
        <v>931</v>
      </c>
      <c r="O29" s="7"/>
      <c r="P29" s="5"/>
      <c r="Q29" s="5"/>
      <c r="R29" s="5" t="s">
        <v>853</v>
      </c>
      <c r="S29" s="6"/>
      <c r="T29" s="19" t="s">
        <v>932</v>
      </c>
      <c r="U29" s="19" t="s">
        <v>933</v>
      </c>
      <c r="V29" s="19" t="s">
        <v>169</v>
      </c>
      <c r="W29" s="19" t="s">
        <v>170</v>
      </c>
      <c r="X29" s="19" t="s">
        <v>1323</v>
      </c>
      <c r="Y29" s="19" t="s">
        <v>1345</v>
      </c>
    </row>
    <row r="30" spans="1:25" s="8" customFormat="1" ht="27" customHeight="1" x14ac:dyDescent="0.45">
      <c r="A30" s="4" t="s">
        <v>171</v>
      </c>
      <c r="B30" s="5" t="s">
        <v>166</v>
      </c>
      <c r="C30" s="5" t="s">
        <v>928</v>
      </c>
      <c r="D30" s="5" t="s">
        <v>172</v>
      </c>
      <c r="E30" s="5" t="s">
        <v>934</v>
      </c>
      <c r="F30" s="6" t="s">
        <v>841</v>
      </c>
      <c r="G30" s="6" t="s">
        <v>842</v>
      </c>
      <c r="H30" s="6" t="s">
        <v>23</v>
      </c>
      <c r="I30" s="5" t="s">
        <v>843</v>
      </c>
      <c r="J30" s="5" t="s">
        <v>905</v>
      </c>
      <c r="K30" s="5" t="s">
        <v>898</v>
      </c>
      <c r="L30" s="5" t="s">
        <v>852</v>
      </c>
      <c r="M30" s="5" t="s">
        <v>167</v>
      </c>
      <c r="N30" s="5" t="s">
        <v>924</v>
      </c>
      <c r="O30" s="7"/>
      <c r="P30" s="5"/>
      <c r="Q30" s="5"/>
      <c r="R30" s="5" t="s">
        <v>848</v>
      </c>
      <c r="S30" s="6"/>
      <c r="T30" s="19" t="s">
        <v>932</v>
      </c>
      <c r="U30" s="19" t="s">
        <v>933</v>
      </c>
      <c r="V30" s="19" t="s">
        <v>169</v>
      </c>
      <c r="W30" s="19" t="s">
        <v>173</v>
      </c>
      <c r="X30" s="19" t="s">
        <v>1323</v>
      </c>
      <c r="Y30" s="19" t="s">
        <v>1345</v>
      </c>
    </row>
    <row r="31" spans="1:25" s="8" customFormat="1" ht="27" customHeight="1" x14ac:dyDescent="0.45">
      <c r="A31" s="4" t="s">
        <v>174</v>
      </c>
      <c r="B31" s="5" t="s">
        <v>166</v>
      </c>
      <c r="C31" s="5" t="s">
        <v>928</v>
      </c>
      <c r="D31" s="5" t="s">
        <v>175</v>
      </c>
      <c r="E31" s="5" t="s">
        <v>935</v>
      </c>
      <c r="F31" s="6" t="s">
        <v>841</v>
      </c>
      <c r="G31" s="6" t="s">
        <v>842</v>
      </c>
      <c r="H31" s="6" t="s">
        <v>23</v>
      </c>
      <c r="I31" s="5" t="s">
        <v>843</v>
      </c>
      <c r="J31" s="5" t="s">
        <v>851</v>
      </c>
      <c r="K31" s="5" t="s">
        <v>936</v>
      </c>
      <c r="L31" s="5" t="s">
        <v>852</v>
      </c>
      <c r="M31" s="5" t="s">
        <v>167</v>
      </c>
      <c r="N31" s="5" t="s">
        <v>924</v>
      </c>
      <c r="O31" s="7"/>
      <c r="P31" s="5"/>
      <c r="Q31" s="5"/>
      <c r="R31" s="5" t="s">
        <v>853</v>
      </c>
      <c r="S31" s="6"/>
      <c r="T31" s="19" t="s">
        <v>932</v>
      </c>
      <c r="U31" s="19" t="s">
        <v>933</v>
      </c>
      <c r="V31" s="19" t="s">
        <v>169</v>
      </c>
      <c r="W31" s="19" t="s">
        <v>176</v>
      </c>
      <c r="X31" s="19" t="s">
        <v>1323</v>
      </c>
      <c r="Y31" s="19" t="s">
        <v>1345</v>
      </c>
    </row>
    <row r="32" spans="1:25" s="8" customFormat="1" ht="27" customHeight="1" x14ac:dyDescent="0.45">
      <c r="A32" s="4" t="s">
        <v>177</v>
      </c>
      <c r="B32" s="5" t="s">
        <v>166</v>
      </c>
      <c r="C32" s="5" t="s">
        <v>928</v>
      </c>
      <c r="D32" s="5" t="s">
        <v>186</v>
      </c>
      <c r="E32" s="5" t="s">
        <v>939</v>
      </c>
      <c r="F32" s="6" t="s">
        <v>841</v>
      </c>
      <c r="G32" s="6" t="s">
        <v>842</v>
      </c>
      <c r="H32" s="6" t="s">
        <v>23</v>
      </c>
      <c r="I32" s="5" t="s">
        <v>867</v>
      </c>
      <c r="J32" s="5" t="s">
        <v>905</v>
      </c>
      <c r="K32" s="5" t="s">
        <v>940</v>
      </c>
      <c r="L32" s="5" t="s">
        <v>879</v>
      </c>
      <c r="M32" s="5" t="s">
        <v>187</v>
      </c>
      <c r="N32" s="5" t="s">
        <v>941</v>
      </c>
      <c r="O32" s="7"/>
      <c r="P32" s="5"/>
      <c r="Q32" s="5"/>
      <c r="R32" s="5" t="s">
        <v>853</v>
      </c>
      <c r="S32" s="6"/>
      <c r="T32" s="19" t="s">
        <v>932</v>
      </c>
      <c r="U32" s="19" t="s">
        <v>942</v>
      </c>
      <c r="V32" s="19" t="s">
        <v>189</v>
      </c>
      <c r="W32" s="19" t="s">
        <v>190</v>
      </c>
      <c r="X32" s="19" t="s">
        <v>905</v>
      </c>
      <c r="Y32" s="19" t="s">
        <v>1345</v>
      </c>
    </row>
    <row r="33" spans="1:25" s="8" customFormat="1" ht="27" customHeight="1" x14ac:dyDescent="0.45">
      <c r="A33" s="4" t="s">
        <v>178</v>
      </c>
      <c r="B33" s="5" t="s">
        <v>166</v>
      </c>
      <c r="C33" s="5" t="s">
        <v>928</v>
      </c>
      <c r="D33" s="5" t="s">
        <v>1335</v>
      </c>
      <c r="E33" s="5" t="s">
        <v>943</v>
      </c>
      <c r="F33" s="6" t="s">
        <v>841</v>
      </c>
      <c r="G33" s="6" t="s">
        <v>842</v>
      </c>
      <c r="H33" s="6" t="s">
        <v>23</v>
      </c>
      <c r="I33" s="5" t="s">
        <v>867</v>
      </c>
      <c r="J33" s="5" t="s">
        <v>845</v>
      </c>
      <c r="K33" s="5" t="s">
        <v>944</v>
      </c>
      <c r="L33" s="5" t="s">
        <v>892</v>
      </c>
      <c r="M33" s="5" t="s">
        <v>1336</v>
      </c>
      <c r="N33" s="5" t="s">
        <v>1346</v>
      </c>
      <c r="O33" s="7"/>
      <c r="P33" s="5"/>
      <c r="Q33" s="5"/>
      <c r="R33" s="5" t="s">
        <v>853</v>
      </c>
      <c r="S33" s="6"/>
      <c r="T33" s="19" t="s">
        <v>932</v>
      </c>
      <c r="U33" s="19" t="s">
        <v>942</v>
      </c>
      <c r="V33" s="19" t="s">
        <v>189</v>
      </c>
      <c r="W33" s="19" t="s">
        <v>1337</v>
      </c>
      <c r="X33" s="19" t="s">
        <v>905</v>
      </c>
      <c r="Y33" s="19" t="s">
        <v>1345</v>
      </c>
    </row>
    <row r="34" spans="1:25" s="8" customFormat="1" ht="27" customHeight="1" x14ac:dyDescent="0.45">
      <c r="A34" s="4" t="s">
        <v>181</v>
      </c>
      <c r="B34" s="5" t="s">
        <v>166</v>
      </c>
      <c r="C34" s="5" t="s">
        <v>928</v>
      </c>
      <c r="D34" s="5" t="s">
        <v>470</v>
      </c>
      <c r="E34" s="5" t="s">
        <v>945</v>
      </c>
      <c r="F34" s="6" t="s">
        <v>841</v>
      </c>
      <c r="G34" s="6" t="s">
        <v>842</v>
      </c>
      <c r="H34" s="6" t="s">
        <v>58</v>
      </c>
      <c r="I34" s="5" t="s">
        <v>843</v>
      </c>
      <c r="J34" s="5" t="s">
        <v>851</v>
      </c>
      <c r="K34" s="5" t="s">
        <v>905</v>
      </c>
      <c r="L34" s="5" t="s">
        <v>846</v>
      </c>
      <c r="M34" s="5" t="s">
        <v>187</v>
      </c>
      <c r="N34" s="5" t="s">
        <v>924</v>
      </c>
      <c r="O34" s="7"/>
      <c r="P34" s="5"/>
      <c r="Q34" s="5"/>
      <c r="R34" s="5" t="s">
        <v>853</v>
      </c>
      <c r="S34" s="6"/>
      <c r="T34" s="19" t="s">
        <v>932</v>
      </c>
      <c r="U34" s="19" t="s">
        <v>942</v>
      </c>
      <c r="V34" s="19" t="s">
        <v>189</v>
      </c>
      <c r="W34" s="19" t="s">
        <v>471</v>
      </c>
      <c r="X34" s="19" t="s">
        <v>905</v>
      </c>
      <c r="Y34" s="19" t="s">
        <v>1345</v>
      </c>
    </row>
    <row r="35" spans="1:25" s="8" customFormat="1" ht="27" customHeight="1" x14ac:dyDescent="0.45">
      <c r="A35" s="4" t="s">
        <v>182</v>
      </c>
      <c r="B35" s="5" t="s">
        <v>166</v>
      </c>
      <c r="C35" s="5" t="s">
        <v>928</v>
      </c>
      <c r="D35" s="5" t="s">
        <v>473</v>
      </c>
      <c r="E35" s="5" t="s">
        <v>946</v>
      </c>
      <c r="F35" s="6" t="s">
        <v>841</v>
      </c>
      <c r="G35" s="6" t="s">
        <v>842</v>
      </c>
      <c r="H35" s="6" t="s">
        <v>58</v>
      </c>
      <c r="I35" s="5" t="s">
        <v>843</v>
      </c>
      <c r="J35" s="5" t="s">
        <v>905</v>
      </c>
      <c r="K35" s="5" t="s">
        <v>851</v>
      </c>
      <c r="L35" s="5" t="s">
        <v>852</v>
      </c>
      <c r="M35" s="5" t="s">
        <v>187</v>
      </c>
      <c r="N35" s="5" t="s">
        <v>947</v>
      </c>
      <c r="O35" s="7"/>
      <c r="P35" s="5"/>
      <c r="Q35" s="5"/>
      <c r="R35" s="5" t="s">
        <v>853</v>
      </c>
      <c r="S35" s="6"/>
      <c r="T35" s="19" t="s">
        <v>932</v>
      </c>
      <c r="U35" s="19" t="s">
        <v>942</v>
      </c>
      <c r="V35" s="19" t="s">
        <v>189</v>
      </c>
      <c r="W35" s="19" t="s">
        <v>474</v>
      </c>
      <c r="X35" s="19" t="s">
        <v>905</v>
      </c>
      <c r="Y35" s="19" t="s">
        <v>1345</v>
      </c>
    </row>
    <row r="36" spans="1:25" s="8" customFormat="1" ht="27" customHeight="1" x14ac:dyDescent="0.45">
      <c r="A36" s="4" t="s">
        <v>183</v>
      </c>
      <c r="B36" s="5" t="s">
        <v>166</v>
      </c>
      <c r="C36" s="5" t="s">
        <v>928</v>
      </c>
      <c r="D36" s="5" t="s">
        <v>670</v>
      </c>
      <c r="E36" s="5" t="s">
        <v>948</v>
      </c>
      <c r="F36" s="6" t="s">
        <v>841</v>
      </c>
      <c r="G36" s="6" t="s">
        <v>842</v>
      </c>
      <c r="H36" s="6" t="s">
        <v>671</v>
      </c>
      <c r="I36" s="5" t="s">
        <v>859</v>
      </c>
      <c r="J36" s="5" t="s">
        <v>905</v>
      </c>
      <c r="K36" s="5" t="s">
        <v>930</v>
      </c>
      <c r="L36" s="5" t="s">
        <v>852</v>
      </c>
      <c r="M36" s="5" t="s">
        <v>167</v>
      </c>
      <c r="N36" s="5" t="s">
        <v>924</v>
      </c>
      <c r="O36" s="7"/>
      <c r="P36" s="5"/>
      <c r="Q36" s="5"/>
      <c r="R36" s="5" t="s">
        <v>853</v>
      </c>
      <c r="S36" s="6"/>
      <c r="T36" s="19" t="s">
        <v>932</v>
      </c>
      <c r="U36" s="19" t="s">
        <v>942</v>
      </c>
      <c r="V36" s="19" t="s">
        <v>189</v>
      </c>
      <c r="W36" s="19" t="s">
        <v>672</v>
      </c>
      <c r="X36" s="19" t="s">
        <v>905</v>
      </c>
      <c r="Y36" s="19" t="s">
        <v>1345</v>
      </c>
    </row>
    <row r="37" spans="1:25" s="8" customFormat="1" ht="27" customHeight="1" x14ac:dyDescent="0.45">
      <c r="A37" s="4" t="s">
        <v>185</v>
      </c>
      <c r="B37" s="5" t="s">
        <v>166</v>
      </c>
      <c r="C37" s="5" t="s">
        <v>928</v>
      </c>
      <c r="D37" s="5" t="s">
        <v>192</v>
      </c>
      <c r="E37" s="5" t="s">
        <v>949</v>
      </c>
      <c r="F37" s="6" t="s">
        <v>841</v>
      </c>
      <c r="G37" s="6" t="s">
        <v>842</v>
      </c>
      <c r="H37" s="6" t="s">
        <v>23</v>
      </c>
      <c r="I37" s="5" t="s">
        <v>843</v>
      </c>
      <c r="J37" s="5" t="s">
        <v>845</v>
      </c>
      <c r="K37" s="5" t="s">
        <v>950</v>
      </c>
      <c r="L37" s="5" t="s">
        <v>852</v>
      </c>
      <c r="M37" s="5" t="s">
        <v>167</v>
      </c>
      <c r="N37" s="5" t="s">
        <v>951</v>
      </c>
      <c r="O37" s="7"/>
      <c r="P37" s="5"/>
      <c r="Q37" s="5"/>
      <c r="R37" s="5" t="s">
        <v>853</v>
      </c>
      <c r="S37" s="6"/>
      <c r="T37" s="19" t="s">
        <v>932</v>
      </c>
      <c r="U37" s="19" t="s">
        <v>952</v>
      </c>
      <c r="V37" s="19" t="s">
        <v>194</v>
      </c>
      <c r="W37" s="19" t="s">
        <v>195</v>
      </c>
      <c r="X37" s="19" t="s">
        <v>1324</v>
      </c>
      <c r="Y37" s="19" t="s">
        <v>1345</v>
      </c>
    </row>
    <row r="38" spans="1:25" s="8" customFormat="1" ht="27" customHeight="1" x14ac:dyDescent="0.45">
      <c r="A38" s="4" t="s">
        <v>191</v>
      </c>
      <c r="B38" s="5" t="s">
        <v>166</v>
      </c>
      <c r="C38" s="5" t="s">
        <v>928</v>
      </c>
      <c r="D38" s="5" t="s">
        <v>475</v>
      </c>
      <c r="E38" s="5" t="s">
        <v>953</v>
      </c>
      <c r="F38" s="6" t="s">
        <v>841</v>
      </c>
      <c r="G38" s="6" t="s">
        <v>842</v>
      </c>
      <c r="H38" s="6" t="s">
        <v>58</v>
      </c>
      <c r="I38" s="5" t="s">
        <v>859</v>
      </c>
      <c r="J38" s="5" t="s">
        <v>905</v>
      </c>
      <c r="K38" s="5" t="s">
        <v>917</v>
      </c>
      <c r="L38" s="5" t="s">
        <v>852</v>
      </c>
      <c r="M38" s="5" t="s">
        <v>184</v>
      </c>
      <c r="N38" s="5" t="s">
        <v>918</v>
      </c>
      <c r="O38" s="7"/>
      <c r="P38" s="5"/>
      <c r="Q38" s="5"/>
      <c r="R38" s="5" t="s">
        <v>853</v>
      </c>
      <c r="S38" s="6"/>
      <c r="T38" s="19" t="s">
        <v>932</v>
      </c>
      <c r="U38" s="19" t="s">
        <v>952</v>
      </c>
      <c r="V38" s="19" t="s">
        <v>194</v>
      </c>
      <c r="W38" s="19" t="s">
        <v>476</v>
      </c>
      <c r="X38" s="19" t="s">
        <v>1324</v>
      </c>
      <c r="Y38" s="19" t="s">
        <v>1345</v>
      </c>
    </row>
    <row r="39" spans="1:25" s="8" customFormat="1" ht="27" customHeight="1" x14ac:dyDescent="0.45">
      <c r="A39" s="4" t="s">
        <v>469</v>
      </c>
      <c r="B39" s="5" t="s">
        <v>166</v>
      </c>
      <c r="C39" s="5" t="s">
        <v>928</v>
      </c>
      <c r="D39" s="5" t="s">
        <v>477</v>
      </c>
      <c r="E39" s="5" t="s">
        <v>954</v>
      </c>
      <c r="F39" s="6" t="s">
        <v>841</v>
      </c>
      <c r="G39" s="6" t="s">
        <v>842</v>
      </c>
      <c r="H39" s="6" t="s">
        <v>58</v>
      </c>
      <c r="I39" s="5" t="s">
        <v>859</v>
      </c>
      <c r="J39" s="5" t="s">
        <v>851</v>
      </c>
      <c r="K39" s="5" t="s">
        <v>955</v>
      </c>
      <c r="L39" s="5" t="s">
        <v>852</v>
      </c>
      <c r="M39" s="5" t="s">
        <v>167</v>
      </c>
      <c r="N39" s="5" t="s">
        <v>956</v>
      </c>
      <c r="O39" s="7"/>
      <c r="P39" s="5"/>
      <c r="Q39" s="5"/>
      <c r="R39" s="5" t="s">
        <v>853</v>
      </c>
      <c r="S39" s="6"/>
      <c r="T39" s="19" t="s">
        <v>932</v>
      </c>
      <c r="U39" s="19" t="s">
        <v>937</v>
      </c>
      <c r="V39" s="19" t="s">
        <v>180</v>
      </c>
      <c r="W39" s="19" t="s">
        <v>478</v>
      </c>
      <c r="X39" s="19" t="s">
        <v>1323</v>
      </c>
      <c r="Y39" s="19" t="s">
        <v>1345</v>
      </c>
    </row>
    <row r="40" spans="1:25" s="8" customFormat="1" ht="27" customHeight="1" x14ac:dyDescent="0.45">
      <c r="A40" s="4" t="s">
        <v>472</v>
      </c>
      <c r="B40" s="5" t="s">
        <v>166</v>
      </c>
      <c r="C40" s="5" t="s">
        <v>928</v>
      </c>
      <c r="D40" s="5" t="s">
        <v>196</v>
      </c>
      <c r="E40" s="5" t="s">
        <v>957</v>
      </c>
      <c r="F40" s="6" t="s">
        <v>841</v>
      </c>
      <c r="G40" s="6" t="s">
        <v>842</v>
      </c>
      <c r="H40" s="6" t="s">
        <v>23</v>
      </c>
      <c r="I40" s="5" t="s">
        <v>843</v>
      </c>
      <c r="J40" s="5" t="s">
        <v>851</v>
      </c>
      <c r="K40" s="5" t="s">
        <v>958</v>
      </c>
      <c r="L40" s="5" t="s">
        <v>846</v>
      </c>
      <c r="M40" s="5" t="s">
        <v>167</v>
      </c>
      <c r="N40" s="5" t="s">
        <v>924</v>
      </c>
      <c r="O40" s="7"/>
      <c r="P40" s="5"/>
      <c r="Q40" s="5"/>
      <c r="R40" s="5" t="s">
        <v>853</v>
      </c>
      <c r="S40" s="6"/>
      <c r="T40" s="19" t="s">
        <v>932</v>
      </c>
      <c r="U40" s="19" t="s">
        <v>959</v>
      </c>
      <c r="V40" s="19" t="s">
        <v>198</v>
      </c>
      <c r="W40" s="19" t="s">
        <v>199</v>
      </c>
      <c r="X40" s="19" t="s">
        <v>1323</v>
      </c>
      <c r="Y40" s="19" t="s">
        <v>1345</v>
      </c>
    </row>
    <row r="41" spans="1:25" s="8" customFormat="1" ht="27" customHeight="1" x14ac:dyDescent="0.45">
      <c r="A41" s="4" t="s">
        <v>669</v>
      </c>
      <c r="B41" s="5" t="s">
        <v>166</v>
      </c>
      <c r="C41" s="5" t="s">
        <v>928</v>
      </c>
      <c r="D41" s="5" t="s">
        <v>479</v>
      </c>
      <c r="E41" s="5" t="s">
        <v>960</v>
      </c>
      <c r="F41" s="6" t="s">
        <v>841</v>
      </c>
      <c r="G41" s="6" t="s">
        <v>842</v>
      </c>
      <c r="H41" s="6" t="s">
        <v>58</v>
      </c>
      <c r="I41" s="5" t="s">
        <v>843</v>
      </c>
      <c r="J41" s="5" t="s">
        <v>851</v>
      </c>
      <c r="K41" s="5" t="s">
        <v>961</v>
      </c>
      <c r="L41" s="5" t="s">
        <v>846</v>
      </c>
      <c r="M41" s="5" t="s">
        <v>167</v>
      </c>
      <c r="N41" s="5" t="s">
        <v>924</v>
      </c>
      <c r="O41" s="7"/>
      <c r="P41" s="5"/>
      <c r="Q41" s="5"/>
      <c r="R41" s="5" t="s">
        <v>853</v>
      </c>
      <c r="S41" s="6"/>
      <c r="T41" s="19" t="s">
        <v>932</v>
      </c>
      <c r="U41" s="19" t="s">
        <v>959</v>
      </c>
      <c r="V41" s="19" t="s">
        <v>198</v>
      </c>
      <c r="W41" s="19" t="s">
        <v>480</v>
      </c>
      <c r="X41" s="19" t="s">
        <v>1323</v>
      </c>
      <c r="Y41" s="19" t="s">
        <v>1345</v>
      </c>
    </row>
    <row r="42" spans="1:25" s="8" customFormat="1" ht="27" customHeight="1" x14ac:dyDescent="0.45">
      <c r="A42" s="4" t="s">
        <v>200</v>
      </c>
      <c r="B42" s="5" t="s">
        <v>117</v>
      </c>
      <c r="C42" s="5" t="s">
        <v>962</v>
      </c>
      <c r="D42" s="5" t="s">
        <v>201</v>
      </c>
      <c r="E42" s="5" t="s">
        <v>963</v>
      </c>
      <c r="F42" s="6" t="s">
        <v>841</v>
      </c>
      <c r="G42" s="6" t="s">
        <v>842</v>
      </c>
      <c r="H42" s="6" t="s">
        <v>23</v>
      </c>
      <c r="I42" s="5" t="s">
        <v>843</v>
      </c>
      <c r="J42" s="5" t="s">
        <v>905</v>
      </c>
      <c r="K42" s="5" t="s">
        <v>906</v>
      </c>
      <c r="L42" s="5" t="s">
        <v>852</v>
      </c>
      <c r="M42" s="5" t="s">
        <v>167</v>
      </c>
      <c r="N42" s="5" t="s">
        <v>1347</v>
      </c>
      <c r="O42" s="7"/>
      <c r="P42" s="5"/>
      <c r="Q42" s="5"/>
      <c r="R42" s="5" t="s">
        <v>897</v>
      </c>
      <c r="S42" s="6"/>
      <c r="T42" s="19" t="s">
        <v>932</v>
      </c>
      <c r="U42" s="19" t="s">
        <v>964</v>
      </c>
      <c r="V42" s="19" t="s">
        <v>203</v>
      </c>
      <c r="W42" s="19" t="s">
        <v>204</v>
      </c>
      <c r="X42" s="19" t="s">
        <v>905</v>
      </c>
      <c r="Y42" s="19" t="s">
        <v>1345</v>
      </c>
    </row>
    <row r="43" spans="1:25" s="8" customFormat="1" ht="27" customHeight="1" x14ac:dyDescent="0.45">
      <c r="A43" s="4" t="s">
        <v>481</v>
      </c>
      <c r="B43" s="5" t="s">
        <v>117</v>
      </c>
      <c r="C43" s="5" t="s">
        <v>962</v>
      </c>
      <c r="D43" s="5" t="s">
        <v>482</v>
      </c>
      <c r="E43" s="5" t="s">
        <v>965</v>
      </c>
      <c r="F43" s="6" t="s">
        <v>841</v>
      </c>
      <c r="G43" s="6" t="s">
        <v>842</v>
      </c>
      <c r="H43" s="6" t="s">
        <v>58</v>
      </c>
      <c r="I43" s="5" t="s">
        <v>843</v>
      </c>
      <c r="J43" s="5" t="s">
        <v>905</v>
      </c>
      <c r="K43" s="5" t="s">
        <v>844</v>
      </c>
      <c r="L43" s="5" t="s">
        <v>852</v>
      </c>
      <c r="M43" s="5" t="s">
        <v>167</v>
      </c>
      <c r="N43" s="5" t="s">
        <v>1347</v>
      </c>
      <c r="O43" s="7"/>
      <c r="P43" s="5"/>
      <c r="Q43" s="5"/>
      <c r="R43" s="5" t="s">
        <v>897</v>
      </c>
      <c r="S43" s="6"/>
      <c r="T43" s="19" t="s">
        <v>932</v>
      </c>
      <c r="U43" s="19" t="s">
        <v>964</v>
      </c>
      <c r="V43" s="19" t="s">
        <v>203</v>
      </c>
      <c r="W43" s="19" t="s">
        <v>483</v>
      </c>
      <c r="X43" s="19" t="s">
        <v>905</v>
      </c>
      <c r="Y43" s="19" t="s">
        <v>1345</v>
      </c>
    </row>
    <row r="44" spans="1:25" s="8" customFormat="1" ht="27" customHeight="1" x14ac:dyDescent="0.45">
      <c r="A44" s="4" t="s">
        <v>205</v>
      </c>
      <c r="B44" s="5" t="s">
        <v>117</v>
      </c>
      <c r="C44" s="5" t="s">
        <v>962</v>
      </c>
      <c r="D44" s="5" t="s">
        <v>206</v>
      </c>
      <c r="E44" s="5" t="s">
        <v>966</v>
      </c>
      <c r="F44" s="6" t="s">
        <v>841</v>
      </c>
      <c r="G44" s="6" t="s">
        <v>842</v>
      </c>
      <c r="H44" s="6" t="s">
        <v>23</v>
      </c>
      <c r="I44" s="5" t="s">
        <v>859</v>
      </c>
      <c r="J44" s="5" t="s">
        <v>845</v>
      </c>
      <c r="K44" s="5" t="s">
        <v>967</v>
      </c>
      <c r="L44" s="5" t="s">
        <v>852</v>
      </c>
      <c r="M44" s="5" t="s">
        <v>167</v>
      </c>
      <c r="N44" s="5" t="s">
        <v>968</v>
      </c>
      <c r="O44" s="7"/>
      <c r="P44" s="5"/>
      <c r="Q44" s="5"/>
      <c r="R44" s="5" t="s">
        <v>853</v>
      </c>
      <c r="S44" s="6"/>
      <c r="T44" s="19" t="s">
        <v>932</v>
      </c>
      <c r="U44" s="19" t="s">
        <v>969</v>
      </c>
      <c r="V44" s="19" t="s">
        <v>208</v>
      </c>
      <c r="W44" s="19" t="s">
        <v>209</v>
      </c>
      <c r="X44" s="19" t="s">
        <v>1323</v>
      </c>
      <c r="Y44" s="19" t="s">
        <v>1345</v>
      </c>
    </row>
    <row r="45" spans="1:25" s="8" customFormat="1" ht="27" customHeight="1" x14ac:dyDescent="0.45">
      <c r="A45" s="4" t="s">
        <v>210</v>
      </c>
      <c r="B45" s="5" t="s">
        <v>117</v>
      </c>
      <c r="C45" s="5" t="s">
        <v>962</v>
      </c>
      <c r="D45" s="5" t="s">
        <v>211</v>
      </c>
      <c r="E45" s="5" t="s">
        <v>970</v>
      </c>
      <c r="F45" s="6" t="s">
        <v>841</v>
      </c>
      <c r="G45" s="6" t="s">
        <v>842</v>
      </c>
      <c r="H45" s="6" t="s">
        <v>23</v>
      </c>
      <c r="I45" s="5" t="s">
        <v>859</v>
      </c>
      <c r="J45" s="5" t="s">
        <v>845</v>
      </c>
      <c r="K45" s="5" t="s">
        <v>971</v>
      </c>
      <c r="L45" s="5" t="s">
        <v>852</v>
      </c>
      <c r="M45" s="5" t="s">
        <v>167</v>
      </c>
      <c r="N45" s="5" t="s">
        <v>847</v>
      </c>
      <c r="O45" s="7"/>
      <c r="P45" s="5"/>
      <c r="Q45" s="5"/>
      <c r="R45" s="5" t="s">
        <v>897</v>
      </c>
      <c r="S45" s="6"/>
      <c r="T45" s="19" t="s">
        <v>932</v>
      </c>
      <c r="U45" s="19" t="s">
        <v>969</v>
      </c>
      <c r="V45" s="19" t="s">
        <v>208</v>
      </c>
      <c r="W45" s="19" t="s">
        <v>212</v>
      </c>
      <c r="X45" s="19" t="s">
        <v>1323</v>
      </c>
      <c r="Y45" s="19" t="s">
        <v>1345</v>
      </c>
    </row>
    <row r="46" spans="1:25" s="8" customFormat="1" ht="27" customHeight="1" x14ac:dyDescent="0.45">
      <c r="A46" s="4" t="s">
        <v>484</v>
      </c>
      <c r="B46" s="5" t="s">
        <v>117</v>
      </c>
      <c r="C46" s="5" t="s">
        <v>962</v>
      </c>
      <c r="D46" s="5" t="s">
        <v>485</v>
      </c>
      <c r="E46" s="5" t="s">
        <v>972</v>
      </c>
      <c r="F46" s="6" t="s">
        <v>841</v>
      </c>
      <c r="G46" s="6" t="s">
        <v>842</v>
      </c>
      <c r="H46" s="6" t="s">
        <v>58</v>
      </c>
      <c r="I46" s="5" t="s">
        <v>843</v>
      </c>
      <c r="J46" s="5" t="s">
        <v>905</v>
      </c>
      <c r="K46" s="5" t="s">
        <v>845</v>
      </c>
      <c r="L46" s="5" t="s">
        <v>852</v>
      </c>
      <c r="M46" s="5" t="s">
        <v>167</v>
      </c>
      <c r="N46" s="5" t="s">
        <v>924</v>
      </c>
      <c r="O46" s="7"/>
      <c r="P46" s="5"/>
      <c r="Q46" s="5"/>
      <c r="R46" s="5" t="s">
        <v>897</v>
      </c>
      <c r="S46" s="6"/>
      <c r="T46" s="19" t="s">
        <v>932</v>
      </c>
      <c r="U46" s="19" t="s">
        <v>969</v>
      </c>
      <c r="V46" s="19" t="s">
        <v>208</v>
      </c>
      <c r="W46" s="19" t="s">
        <v>486</v>
      </c>
      <c r="X46" s="19" t="s">
        <v>1323</v>
      </c>
      <c r="Y46" s="19" t="s">
        <v>1345</v>
      </c>
    </row>
    <row r="47" spans="1:25" s="8" customFormat="1" ht="27" customHeight="1" x14ac:dyDescent="0.45">
      <c r="A47" s="4" t="s">
        <v>213</v>
      </c>
      <c r="B47" s="5" t="s">
        <v>117</v>
      </c>
      <c r="C47" s="5" t="s">
        <v>962</v>
      </c>
      <c r="D47" s="5" t="s">
        <v>214</v>
      </c>
      <c r="E47" s="5" t="s">
        <v>973</v>
      </c>
      <c r="F47" s="6" t="s">
        <v>841</v>
      </c>
      <c r="G47" s="6" t="s">
        <v>842</v>
      </c>
      <c r="H47" s="6" t="s">
        <v>23</v>
      </c>
      <c r="I47" s="5" t="s">
        <v>867</v>
      </c>
      <c r="J47" s="5" t="s">
        <v>845</v>
      </c>
      <c r="K47" s="5" t="s">
        <v>974</v>
      </c>
      <c r="L47" s="5" t="s">
        <v>879</v>
      </c>
      <c r="M47" s="5" t="s">
        <v>215</v>
      </c>
      <c r="N47" s="5" t="s">
        <v>847</v>
      </c>
      <c r="O47" s="7"/>
      <c r="P47" s="5"/>
      <c r="Q47" s="5"/>
      <c r="R47" s="5" t="s">
        <v>848</v>
      </c>
      <c r="S47" s="6"/>
      <c r="T47" s="19" t="s">
        <v>932</v>
      </c>
      <c r="U47" s="19" t="s">
        <v>964</v>
      </c>
      <c r="V47" s="19" t="s">
        <v>203</v>
      </c>
      <c r="W47" s="19" t="s">
        <v>216</v>
      </c>
      <c r="X47" s="19" t="s">
        <v>905</v>
      </c>
      <c r="Y47" s="19" t="s">
        <v>1345</v>
      </c>
    </row>
    <row r="48" spans="1:25" s="8" customFormat="1" ht="27" customHeight="1" x14ac:dyDescent="0.45">
      <c r="A48" s="4" t="s">
        <v>217</v>
      </c>
      <c r="B48" s="5" t="s">
        <v>117</v>
      </c>
      <c r="C48" s="5" t="s">
        <v>962</v>
      </c>
      <c r="D48" s="5" t="s">
        <v>218</v>
      </c>
      <c r="E48" s="5" t="s">
        <v>975</v>
      </c>
      <c r="F48" s="6" t="s">
        <v>841</v>
      </c>
      <c r="G48" s="6" t="s">
        <v>842</v>
      </c>
      <c r="H48" s="6" t="s">
        <v>23</v>
      </c>
      <c r="I48" s="5" t="s">
        <v>843</v>
      </c>
      <c r="J48" s="5" t="s">
        <v>905</v>
      </c>
      <c r="K48" s="5" t="s">
        <v>976</v>
      </c>
      <c r="L48" s="5" t="s">
        <v>852</v>
      </c>
      <c r="M48" s="5" t="s">
        <v>167</v>
      </c>
      <c r="N48" s="5" t="s">
        <v>977</v>
      </c>
      <c r="O48" s="7"/>
      <c r="P48" s="5"/>
      <c r="Q48" s="5"/>
      <c r="R48" s="5" t="s">
        <v>848</v>
      </c>
      <c r="S48" s="6"/>
      <c r="T48" s="19" t="s">
        <v>932</v>
      </c>
      <c r="U48" s="19" t="s">
        <v>978</v>
      </c>
      <c r="V48" s="19" t="s">
        <v>220</v>
      </c>
      <c r="W48" s="19" t="s">
        <v>221</v>
      </c>
      <c r="X48" s="19" t="s">
        <v>1323</v>
      </c>
      <c r="Y48" s="19" t="s">
        <v>1345</v>
      </c>
    </row>
    <row r="49" spans="1:25" s="8" customFormat="1" ht="27" customHeight="1" x14ac:dyDescent="0.45">
      <c r="A49" s="4" t="s">
        <v>487</v>
      </c>
      <c r="B49" s="5" t="s">
        <v>117</v>
      </c>
      <c r="C49" s="5" t="s">
        <v>962</v>
      </c>
      <c r="D49" s="5" t="s">
        <v>488</v>
      </c>
      <c r="E49" s="5" t="s">
        <v>979</v>
      </c>
      <c r="F49" s="6" t="s">
        <v>841</v>
      </c>
      <c r="G49" s="6" t="s">
        <v>842</v>
      </c>
      <c r="H49" s="6" t="s">
        <v>58</v>
      </c>
      <c r="I49" s="5" t="s">
        <v>843</v>
      </c>
      <c r="J49" s="5" t="s">
        <v>905</v>
      </c>
      <c r="K49" s="5" t="s">
        <v>851</v>
      </c>
      <c r="L49" s="5" t="s">
        <v>852</v>
      </c>
      <c r="M49" s="5" t="s">
        <v>167</v>
      </c>
      <c r="N49" s="5" t="s">
        <v>977</v>
      </c>
      <c r="O49" s="7"/>
      <c r="P49" s="5"/>
      <c r="Q49" s="5"/>
      <c r="R49" s="5" t="s">
        <v>853</v>
      </c>
      <c r="S49" s="6"/>
      <c r="T49" s="19" t="s">
        <v>932</v>
      </c>
      <c r="U49" s="19" t="s">
        <v>978</v>
      </c>
      <c r="V49" s="19" t="s">
        <v>220</v>
      </c>
      <c r="W49" s="19" t="s">
        <v>489</v>
      </c>
      <c r="X49" s="19" t="s">
        <v>1323</v>
      </c>
      <c r="Y49" s="19" t="s">
        <v>1345</v>
      </c>
    </row>
    <row r="50" spans="1:25" s="8" customFormat="1" ht="27" customHeight="1" x14ac:dyDescent="0.45">
      <c r="A50" s="4" t="s">
        <v>490</v>
      </c>
      <c r="B50" s="5" t="s">
        <v>117</v>
      </c>
      <c r="C50" s="5" t="s">
        <v>962</v>
      </c>
      <c r="D50" s="5" t="s">
        <v>491</v>
      </c>
      <c r="E50" s="5" t="s">
        <v>980</v>
      </c>
      <c r="F50" s="6" t="s">
        <v>841</v>
      </c>
      <c r="G50" s="6" t="s">
        <v>842</v>
      </c>
      <c r="H50" s="6" t="s">
        <v>58</v>
      </c>
      <c r="I50" s="5" t="s">
        <v>843</v>
      </c>
      <c r="J50" s="5" t="s">
        <v>905</v>
      </c>
      <c r="K50" s="5" t="s">
        <v>981</v>
      </c>
      <c r="L50" s="5" t="s">
        <v>852</v>
      </c>
      <c r="M50" s="5" t="s">
        <v>167</v>
      </c>
      <c r="N50" s="5" t="s">
        <v>977</v>
      </c>
      <c r="O50" s="7"/>
      <c r="P50" s="5"/>
      <c r="Q50" s="5"/>
      <c r="R50" s="5" t="s">
        <v>853</v>
      </c>
      <c r="S50" s="6"/>
      <c r="T50" s="19" t="s">
        <v>932</v>
      </c>
      <c r="U50" s="19" t="s">
        <v>978</v>
      </c>
      <c r="V50" s="19" t="s">
        <v>220</v>
      </c>
      <c r="W50" s="19" t="s">
        <v>492</v>
      </c>
      <c r="X50" s="19" t="s">
        <v>1323</v>
      </c>
      <c r="Y50" s="19" t="s">
        <v>1345</v>
      </c>
    </row>
    <row r="51" spans="1:25" s="8" customFormat="1" ht="27" customHeight="1" x14ac:dyDescent="0.45">
      <c r="A51" s="4" t="s">
        <v>222</v>
      </c>
      <c r="B51" s="5" t="s">
        <v>117</v>
      </c>
      <c r="C51" s="5" t="s">
        <v>962</v>
      </c>
      <c r="D51" s="5" t="s">
        <v>223</v>
      </c>
      <c r="E51" s="5" t="s">
        <v>982</v>
      </c>
      <c r="F51" s="6" t="s">
        <v>841</v>
      </c>
      <c r="G51" s="6" t="s">
        <v>842</v>
      </c>
      <c r="H51" s="6" t="s">
        <v>23</v>
      </c>
      <c r="I51" s="5" t="s">
        <v>843</v>
      </c>
      <c r="J51" s="5" t="s">
        <v>905</v>
      </c>
      <c r="K51" s="5" t="s">
        <v>976</v>
      </c>
      <c r="L51" s="5" t="s">
        <v>852</v>
      </c>
      <c r="M51" s="5" t="s">
        <v>167</v>
      </c>
      <c r="N51" s="5" t="s">
        <v>983</v>
      </c>
      <c r="O51" s="7"/>
      <c r="P51" s="5"/>
      <c r="Q51" s="5"/>
      <c r="R51" s="5" t="s">
        <v>853</v>
      </c>
      <c r="S51" s="6"/>
      <c r="T51" s="19" t="s">
        <v>932</v>
      </c>
      <c r="U51" s="19" t="s">
        <v>978</v>
      </c>
      <c r="V51" s="19" t="s">
        <v>220</v>
      </c>
      <c r="W51" s="19" t="s">
        <v>224</v>
      </c>
      <c r="X51" s="19" t="s">
        <v>1323</v>
      </c>
      <c r="Y51" s="19" t="s">
        <v>1345</v>
      </c>
    </row>
    <row r="52" spans="1:25" s="8" customFormat="1" ht="27" customHeight="1" x14ac:dyDescent="0.45">
      <c r="A52" s="4" t="s">
        <v>493</v>
      </c>
      <c r="B52" s="5" t="s">
        <v>117</v>
      </c>
      <c r="C52" s="5" t="s">
        <v>962</v>
      </c>
      <c r="D52" s="5" t="s">
        <v>494</v>
      </c>
      <c r="E52" s="5" t="s">
        <v>984</v>
      </c>
      <c r="F52" s="6" t="s">
        <v>841</v>
      </c>
      <c r="G52" s="6" t="s">
        <v>842</v>
      </c>
      <c r="H52" s="6" t="s">
        <v>58</v>
      </c>
      <c r="I52" s="5" t="s">
        <v>843</v>
      </c>
      <c r="J52" s="5" t="s">
        <v>905</v>
      </c>
      <c r="K52" s="5" t="s">
        <v>985</v>
      </c>
      <c r="L52" s="5" t="s">
        <v>852</v>
      </c>
      <c r="M52" s="5" t="s">
        <v>167</v>
      </c>
      <c r="N52" s="5" t="s">
        <v>977</v>
      </c>
      <c r="O52" s="7"/>
      <c r="P52" s="5"/>
      <c r="Q52" s="5"/>
      <c r="R52" s="5" t="s">
        <v>853</v>
      </c>
      <c r="S52" s="6"/>
      <c r="T52" s="19" t="s">
        <v>932</v>
      </c>
      <c r="U52" s="19" t="s">
        <v>978</v>
      </c>
      <c r="V52" s="19" t="s">
        <v>220</v>
      </c>
      <c r="W52" s="19" t="s">
        <v>495</v>
      </c>
      <c r="X52" s="19" t="s">
        <v>1323</v>
      </c>
      <c r="Y52" s="19" t="s">
        <v>1345</v>
      </c>
    </row>
    <row r="53" spans="1:25" s="8" customFormat="1" ht="27" customHeight="1" x14ac:dyDescent="0.45">
      <c r="A53" s="4" t="s">
        <v>155</v>
      </c>
      <c r="B53" s="5" t="s">
        <v>117</v>
      </c>
      <c r="C53" s="5" t="s">
        <v>962</v>
      </c>
      <c r="D53" s="5" t="s">
        <v>156</v>
      </c>
      <c r="E53" s="5" t="s">
        <v>986</v>
      </c>
      <c r="F53" s="6" t="s">
        <v>841</v>
      </c>
      <c r="G53" s="6" t="s">
        <v>842</v>
      </c>
      <c r="H53" s="6" t="s">
        <v>58</v>
      </c>
      <c r="I53" s="5" t="s">
        <v>867</v>
      </c>
      <c r="J53" s="5" t="s">
        <v>844</v>
      </c>
      <c r="K53" s="5" t="s">
        <v>845</v>
      </c>
      <c r="L53" s="5" t="s">
        <v>879</v>
      </c>
      <c r="M53" s="5" t="s">
        <v>70</v>
      </c>
      <c r="N53" s="5" t="s">
        <v>1348</v>
      </c>
      <c r="O53" s="7"/>
      <c r="P53" s="5"/>
      <c r="Q53" s="5"/>
      <c r="R53" s="5" t="s">
        <v>853</v>
      </c>
      <c r="S53" s="6"/>
      <c r="T53" s="19" t="s">
        <v>932</v>
      </c>
      <c r="U53" s="19" t="s">
        <v>987</v>
      </c>
      <c r="V53" s="19" t="s">
        <v>119</v>
      </c>
      <c r="W53" s="19" t="s">
        <v>157</v>
      </c>
      <c r="X53" s="19" t="s">
        <v>905</v>
      </c>
      <c r="Y53" s="19" t="s">
        <v>1344</v>
      </c>
    </row>
    <row r="54" spans="1:25" s="8" customFormat="1" ht="27" customHeight="1" x14ac:dyDescent="0.45">
      <c r="A54" s="4" t="s">
        <v>496</v>
      </c>
      <c r="B54" s="5" t="s">
        <v>117</v>
      </c>
      <c r="C54" s="5" t="s">
        <v>962</v>
      </c>
      <c r="D54" s="5" t="s">
        <v>497</v>
      </c>
      <c r="E54" s="5" t="s">
        <v>988</v>
      </c>
      <c r="F54" s="6" t="s">
        <v>841</v>
      </c>
      <c r="G54" s="6" t="s">
        <v>842</v>
      </c>
      <c r="H54" s="6" t="s">
        <v>58</v>
      </c>
      <c r="I54" s="5" t="s">
        <v>867</v>
      </c>
      <c r="J54" s="5" t="s">
        <v>845</v>
      </c>
      <c r="K54" s="5" t="s">
        <v>989</v>
      </c>
      <c r="L54" s="5" t="s">
        <v>879</v>
      </c>
      <c r="M54" s="5" t="s">
        <v>167</v>
      </c>
      <c r="N54" s="5" t="s">
        <v>918</v>
      </c>
      <c r="O54" s="7"/>
      <c r="P54" s="5"/>
      <c r="Q54" s="5"/>
      <c r="R54" s="5" t="s">
        <v>853</v>
      </c>
      <c r="S54" s="6"/>
      <c r="T54" s="19" t="s">
        <v>932</v>
      </c>
      <c r="U54" s="19" t="s">
        <v>987</v>
      </c>
      <c r="V54" s="19" t="s">
        <v>119</v>
      </c>
      <c r="W54" s="19" t="s">
        <v>498</v>
      </c>
      <c r="X54" s="19" t="s">
        <v>905</v>
      </c>
      <c r="Y54" s="19" t="s">
        <v>1345</v>
      </c>
    </row>
    <row r="55" spans="1:25" s="8" customFormat="1" ht="27" customHeight="1" x14ac:dyDescent="0.45">
      <c r="A55" s="4" t="s">
        <v>225</v>
      </c>
      <c r="B55" s="5" t="s">
        <v>117</v>
      </c>
      <c r="C55" s="5" t="s">
        <v>962</v>
      </c>
      <c r="D55" s="5" t="s">
        <v>226</v>
      </c>
      <c r="E55" s="5" t="s">
        <v>990</v>
      </c>
      <c r="F55" s="6" t="s">
        <v>841</v>
      </c>
      <c r="G55" s="6" t="s">
        <v>842</v>
      </c>
      <c r="H55" s="6" t="s">
        <v>23</v>
      </c>
      <c r="I55" s="5" t="s">
        <v>867</v>
      </c>
      <c r="J55" s="5" t="s">
        <v>905</v>
      </c>
      <c r="K55" s="5" t="s">
        <v>851</v>
      </c>
      <c r="L55" s="5" t="s">
        <v>884</v>
      </c>
      <c r="M55" s="5" t="s">
        <v>167</v>
      </c>
      <c r="N55" s="5" t="s">
        <v>918</v>
      </c>
      <c r="O55" s="7"/>
      <c r="P55" s="5"/>
      <c r="Q55" s="5"/>
      <c r="R55" s="5" t="s">
        <v>870</v>
      </c>
      <c r="S55" s="6"/>
      <c r="T55" s="19" t="s">
        <v>932</v>
      </c>
      <c r="U55" s="19" t="s">
        <v>987</v>
      </c>
      <c r="V55" s="19" t="s">
        <v>119</v>
      </c>
      <c r="W55" s="19" t="s">
        <v>227</v>
      </c>
      <c r="X55" s="19" t="s">
        <v>905</v>
      </c>
      <c r="Y55" s="19" t="s">
        <v>1345</v>
      </c>
    </row>
    <row r="56" spans="1:25" s="8" customFormat="1" ht="27" customHeight="1" x14ac:dyDescent="0.45">
      <c r="A56" s="4" t="s">
        <v>228</v>
      </c>
      <c r="B56" s="5" t="s">
        <v>117</v>
      </c>
      <c r="C56" s="5" t="s">
        <v>962</v>
      </c>
      <c r="D56" s="5" t="s">
        <v>229</v>
      </c>
      <c r="E56" s="5" t="s">
        <v>991</v>
      </c>
      <c r="F56" s="6" t="s">
        <v>841</v>
      </c>
      <c r="G56" s="6" t="s">
        <v>842</v>
      </c>
      <c r="H56" s="6" t="s">
        <v>23</v>
      </c>
      <c r="I56" s="5" t="s">
        <v>867</v>
      </c>
      <c r="J56" s="5" t="s">
        <v>845</v>
      </c>
      <c r="K56" s="5" t="s">
        <v>974</v>
      </c>
      <c r="L56" s="5" t="s">
        <v>879</v>
      </c>
      <c r="M56" s="5" t="s">
        <v>184</v>
      </c>
      <c r="N56" s="5" t="s">
        <v>918</v>
      </c>
      <c r="O56" s="7"/>
      <c r="P56" s="5"/>
      <c r="Q56" s="5"/>
      <c r="R56" s="5" t="s">
        <v>897</v>
      </c>
      <c r="S56" s="6"/>
      <c r="T56" s="19" t="s">
        <v>932</v>
      </c>
      <c r="U56" s="19" t="s">
        <v>987</v>
      </c>
      <c r="V56" s="19" t="s">
        <v>119</v>
      </c>
      <c r="W56" s="19" t="s">
        <v>230</v>
      </c>
      <c r="X56" s="19" t="s">
        <v>905</v>
      </c>
      <c r="Y56" s="19" t="s">
        <v>1345</v>
      </c>
    </row>
    <row r="57" spans="1:25" s="8" customFormat="1" ht="27" customHeight="1" x14ac:dyDescent="0.45">
      <c r="A57" s="4" t="s">
        <v>231</v>
      </c>
      <c r="B57" s="5" t="s">
        <v>117</v>
      </c>
      <c r="C57" s="5" t="s">
        <v>962</v>
      </c>
      <c r="D57" s="5" t="s">
        <v>232</v>
      </c>
      <c r="E57" s="5" t="s">
        <v>992</v>
      </c>
      <c r="F57" s="6" t="s">
        <v>841</v>
      </c>
      <c r="G57" s="6" t="s">
        <v>842</v>
      </c>
      <c r="H57" s="6" t="s">
        <v>23</v>
      </c>
      <c r="I57" s="5" t="s">
        <v>843</v>
      </c>
      <c r="J57" s="5" t="s">
        <v>845</v>
      </c>
      <c r="K57" s="5" t="s">
        <v>905</v>
      </c>
      <c r="L57" s="5" t="s">
        <v>852</v>
      </c>
      <c r="M57" s="5" t="s">
        <v>167</v>
      </c>
      <c r="N57" s="5" t="s">
        <v>918</v>
      </c>
      <c r="O57" s="7"/>
      <c r="P57" s="5"/>
      <c r="Q57" s="5"/>
      <c r="R57" s="5" t="s">
        <v>853</v>
      </c>
      <c r="S57" s="6"/>
      <c r="T57" s="19" t="s">
        <v>932</v>
      </c>
      <c r="U57" s="19" t="s">
        <v>987</v>
      </c>
      <c r="V57" s="19" t="s">
        <v>119</v>
      </c>
      <c r="W57" s="19" t="s">
        <v>233</v>
      </c>
      <c r="X57" s="19" t="s">
        <v>905</v>
      </c>
      <c r="Y57" s="19" t="s">
        <v>1345</v>
      </c>
    </row>
    <row r="58" spans="1:25" s="8" customFormat="1" ht="27" customHeight="1" x14ac:dyDescent="0.45">
      <c r="A58" s="4" t="s">
        <v>499</v>
      </c>
      <c r="B58" s="5" t="s">
        <v>117</v>
      </c>
      <c r="C58" s="5" t="s">
        <v>962</v>
      </c>
      <c r="D58" s="5" t="s">
        <v>500</v>
      </c>
      <c r="E58" s="5" t="s">
        <v>993</v>
      </c>
      <c r="F58" s="6" t="s">
        <v>841</v>
      </c>
      <c r="G58" s="6" t="s">
        <v>842</v>
      </c>
      <c r="H58" s="6" t="s">
        <v>58</v>
      </c>
      <c r="I58" s="5" t="s">
        <v>867</v>
      </c>
      <c r="J58" s="5" t="s">
        <v>905</v>
      </c>
      <c r="K58" s="5" t="s">
        <v>930</v>
      </c>
      <c r="L58" s="5" t="s">
        <v>892</v>
      </c>
      <c r="M58" s="5" t="s">
        <v>167</v>
      </c>
      <c r="N58" s="5" t="s">
        <v>924</v>
      </c>
      <c r="O58" s="7"/>
      <c r="P58" s="5"/>
      <c r="Q58" s="5"/>
      <c r="R58" s="5" t="s">
        <v>897</v>
      </c>
      <c r="S58" s="6"/>
      <c r="T58" s="19" t="s">
        <v>932</v>
      </c>
      <c r="U58" s="19" t="s">
        <v>987</v>
      </c>
      <c r="V58" s="19" t="s">
        <v>119</v>
      </c>
      <c r="W58" s="19" t="s">
        <v>501</v>
      </c>
      <c r="X58" s="19" t="s">
        <v>905</v>
      </c>
      <c r="Y58" s="19" t="s">
        <v>1345</v>
      </c>
    </row>
    <row r="59" spans="1:25" s="8" customFormat="1" ht="27" customHeight="1" x14ac:dyDescent="0.45">
      <c r="A59" s="4" t="s">
        <v>502</v>
      </c>
      <c r="B59" s="5" t="s">
        <v>117</v>
      </c>
      <c r="C59" s="5" t="s">
        <v>962</v>
      </c>
      <c r="D59" s="5" t="s">
        <v>503</v>
      </c>
      <c r="E59" s="5" t="s">
        <v>994</v>
      </c>
      <c r="F59" s="6" t="s">
        <v>841</v>
      </c>
      <c r="G59" s="6" t="s">
        <v>842</v>
      </c>
      <c r="H59" s="6" t="s">
        <v>58</v>
      </c>
      <c r="I59" s="5" t="s">
        <v>843</v>
      </c>
      <c r="J59" s="5" t="s">
        <v>844</v>
      </c>
      <c r="K59" s="5" t="s">
        <v>995</v>
      </c>
      <c r="L59" s="5" t="s">
        <v>846</v>
      </c>
      <c r="M59" s="5" t="s">
        <v>167</v>
      </c>
      <c r="N59" s="5" t="s">
        <v>996</v>
      </c>
      <c r="O59" s="7"/>
      <c r="P59" s="5"/>
      <c r="Q59" s="5"/>
      <c r="R59" s="5" t="s">
        <v>853</v>
      </c>
      <c r="S59" s="6"/>
      <c r="T59" s="19" t="s">
        <v>932</v>
      </c>
      <c r="U59" s="19" t="s">
        <v>987</v>
      </c>
      <c r="V59" s="19" t="s">
        <v>119</v>
      </c>
      <c r="W59" s="19" t="s">
        <v>504</v>
      </c>
      <c r="X59" s="19" t="s">
        <v>905</v>
      </c>
      <c r="Y59" s="19" t="s">
        <v>1345</v>
      </c>
    </row>
    <row r="60" spans="1:25" s="8" customFormat="1" ht="27" customHeight="1" x14ac:dyDescent="0.45">
      <c r="A60" s="4" t="s">
        <v>234</v>
      </c>
      <c r="B60" s="5" t="s">
        <v>117</v>
      </c>
      <c r="C60" s="5" t="s">
        <v>962</v>
      </c>
      <c r="D60" s="5" t="s">
        <v>235</v>
      </c>
      <c r="E60" s="5" t="s">
        <v>997</v>
      </c>
      <c r="F60" s="6" t="s">
        <v>841</v>
      </c>
      <c r="G60" s="6" t="s">
        <v>842</v>
      </c>
      <c r="H60" s="6" t="s">
        <v>23</v>
      </c>
      <c r="I60" s="5" t="s">
        <v>843</v>
      </c>
      <c r="J60" s="5" t="s">
        <v>905</v>
      </c>
      <c r="K60" s="5" t="s">
        <v>851</v>
      </c>
      <c r="L60" s="5" t="s">
        <v>846</v>
      </c>
      <c r="M60" s="5" t="s">
        <v>167</v>
      </c>
      <c r="N60" s="5" t="s">
        <v>924</v>
      </c>
      <c r="O60" s="7"/>
      <c r="P60" s="5"/>
      <c r="Q60" s="5"/>
      <c r="R60" s="5" t="s">
        <v>853</v>
      </c>
      <c r="S60" s="6"/>
      <c r="T60" s="19" t="s">
        <v>932</v>
      </c>
      <c r="U60" s="19" t="s">
        <v>964</v>
      </c>
      <c r="V60" s="19" t="s">
        <v>203</v>
      </c>
      <c r="W60" s="19" t="s">
        <v>236</v>
      </c>
      <c r="X60" s="19" t="s">
        <v>905</v>
      </c>
      <c r="Y60" s="19" t="s">
        <v>1345</v>
      </c>
    </row>
    <row r="61" spans="1:25" s="8" customFormat="1" ht="27" customHeight="1" x14ac:dyDescent="0.45">
      <c r="A61" s="4" t="s">
        <v>115</v>
      </c>
      <c r="B61" s="5" t="s">
        <v>117</v>
      </c>
      <c r="C61" s="5" t="s">
        <v>962</v>
      </c>
      <c r="D61" s="5" t="s">
        <v>116</v>
      </c>
      <c r="E61" s="5" t="s">
        <v>998</v>
      </c>
      <c r="F61" s="6" t="s">
        <v>841</v>
      </c>
      <c r="G61" s="6" t="s">
        <v>842</v>
      </c>
      <c r="H61" s="6" t="s">
        <v>23</v>
      </c>
      <c r="I61" s="5" t="s">
        <v>867</v>
      </c>
      <c r="J61" s="5" t="s">
        <v>845</v>
      </c>
      <c r="K61" s="5" t="s">
        <v>999</v>
      </c>
      <c r="L61" s="5" t="s">
        <v>892</v>
      </c>
      <c r="M61" s="5" t="s">
        <v>70</v>
      </c>
      <c r="N61" s="5" t="s">
        <v>1349</v>
      </c>
      <c r="O61" s="7"/>
      <c r="P61" s="5"/>
      <c r="Q61" s="5"/>
      <c r="R61" s="5" t="s">
        <v>853</v>
      </c>
      <c r="S61" s="6"/>
      <c r="T61" s="19" t="s">
        <v>932</v>
      </c>
      <c r="U61" s="19" t="s">
        <v>987</v>
      </c>
      <c r="V61" s="19" t="s">
        <v>119</v>
      </c>
      <c r="W61" s="19" t="s">
        <v>120</v>
      </c>
      <c r="X61" s="19" t="s">
        <v>905</v>
      </c>
      <c r="Y61" s="19" t="s">
        <v>1344</v>
      </c>
    </row>
    <row r="62" spans="1:25" s="8" customFormat="1" ht="27" customHeight="1" x14ac:dyDescent="0.45">
      <c r="A62" s="4" t="s">
        <v>237</v>
      </c>
      <c r="B62" s="5" t="s">
        <v>239</v>
      </c>
      <c r="C62" s="5" t="s">
        <v>1000</v>
      </c>
      <c r="D62" s="5" t="s">
        <v>238</v>
      </c>
      <c r="E62" s="5" t="s">
        <v>1001</v>
      </c>
      <c r="F62" s="6" t="s">
        <v>841</v>
      </c>
      <c r="G62" s="6" t="s">
        <v>842</v>
      </c>
      <c r="H62" s="6" t="s">
        <v>23</v>
      </c>
      <c r="I62" s="5" t="s">
        <v>867</v>
      </c>
      <c r="J62" s="5" t="s">
        <v>845</v>
      </c>
      <c r="K62" s="5" t="s">
        <v>1002</v>
      </c>
      <c r="L62" s="5" t="s">
        <v>879</v>
      </c>
      <c r="M62" s="5" t="s">
        <v>167</v>
      </c>
      <c r="N62" s="5" t="s">
        <v>1003</v>
      </c>
      <c r="O62" s="7"/>
      <c r="P62" s="5"/>
      <c r="Q62" s="5"/>
      <c r="R62" s="5" t="s">
        <v>897</v>
      </c>
      <c r="S62" s="6"/>
      <c r="T62" s="19" t="s">
        <v>1004</v>
      </c>
      <c r="U62" s="19" t="s">
        <v>1005</v>
      </c>
      <c r="V62" s="19" t="s">
        <v>241</v>
      </c>
      <c r="W62" s="19" t="s">
        <v>242</v>
      </c>
      <c r="X62" s="19" t="s">
        <v>1323</v>
      </c>
      <c r="Y62" s="19" t="s">
        <v>1345</v>
      </c>
    </row>
    <row r="63" spans="1:25" s="8" customFormat="1" ht="27" customHeight="1" x14ac:dyDescent="0.45">
      <c r="A63" s="4" t="s">
        <v>243</v>
      </c>
      <c r="B63" s="5" t="s">
        <v>239</v>
      </c>
      <c r="C63" s="5" t="s">
        <v>1000</v>
      </c>
      <c r="D63" s="5" t="s">
        <v>244</v>
      </c>
      <c r="E63" s="5" t="s">
        <v>1006</v>
      </c>
      <c r="F63" s="6" t="s">
        <v>841</v>
      </c>
      <c r="G63" s="6" t="s">
        <v>842</v>
      </c>
      <c r="H63" s="6" t="s">
        <v>23</v>
      </c>
      <c r="I63" s="5" t="s">
        <v>867</v>
      </c>
      <c r="J63" s="5" t="s">
        <v>845</v>
      </c>
      <c r="K63" s="5" t="s">
        <v>923</v>
      </c>
      <c r="L63" s="5" t="s">
        <v>884</v>
      </c>
      <c r="M63" s="5" t="s">
        <v>167</v>
      </c>
      <c r="N63" s="5" t="s">
        <v>919</v>
      </c>
      <c r="O63" s="7"/>
      <c r="P63" s="5"/>
      <c r="Q63" s="5"/>
      <c r="R63" s="5" t="s">
        <v>870</v>
      </c>
      <c r="S63" s="6"/>
      <c r="T63" s="19" t="s">
        <v>1004</v>
      </c>
      <c r="U63" s="19" t="s">
        <v>1005</v>
      </c>
      <c r="V63" s="19" t="s">
        <v>241</v>
      </c>
      <c r="W63" s="19" t="s">
        <v>245</v>
      </c>
      <c r="X63" s="19" t="s">
        <v>1323</v>
      </c>
      <c r="Y63" s="19" t="s">
        <v>1345</v>
      </c>
    </row>
    <row r="64" spans="1:25" s="8" customFormat="1" ht="27" customHeight="1" x14ac:dyDescent="0.45">
      <c r="A64" s="4" t="s">
        <v>246</v>
      </c>
      <c r="B64" s="5" t="s">
        <v>239</v>
      </c>
      <c r="C64" s="5" t="s">
        <v>1000</v>
      </c>
      <c r="D64" s="5" t="s">
        <v>247</v>
      </c>
      <c r="E64" s="5" t="s">
        <v>1007</v>
      </c>
      <c r="F64" s="6" t="s">
        <v>841</v>
      </c>
      <c r="G64" s="6" t="s">
        <v>842</v>
      </c>
      <c r="H64" s="6" t="s">
        <v>23</v>
      </c>
      <c r="I64" s="5" t="s">
        <v>843</v>
      </c>
      <c r="J64" s="5" t="s">
        <v>905</v>
      </c>
      <c r="K64" s="5" t="s">
        <v>1008</v>
      </c>
      <c r="L64" s="5" t="s">
        <v>852</v>
      </c>
      <c r="M64" s="5" t="s">
        <v>167</v>
      </c>
      <c r="N64" s="5" t="s">
        <v>919</v>
      </c>
      <c r="O64" s="7"/>
      <c r="P64" s="5"/>
      <c r="Q64" s="5"/>
      <c r="R64" s="5" t="s">
        <v>897</v>
      </c>
      <c r="S64" s="6"/>
      <c r="T64" s="19" t="s">
        <v>1004</v>
      </c>
      <c r="U64" s="19" t="s">
        <v>1005</v>
      </c>
      <c r="V64" s="19" t="s">
        <v>241</v>
      </c>
      <c r="W64" s="19" t="s">
        <v>248</v>
      </c>
      <c r="X64" s="19" t="s">
        <v>1323</v>
      </c>
      <c r="Y64" s="19" t="s">
        <v>1345</v>
      </c>
    </row>
    <row r="65" spans="1:25" s="8" customFormat="1" ht="27" customHeight="1" x14ac:dyDescent="0.45">
      <c r="A65" s="4" t="s">
        <v>249</v>
      </c>
      <c r="B65" s="5" t="s">
        <v>239</v>
      </c>
      <c r="C65" s="5" t="s">
        <v>1000</v>
      </c>
      <c r="D65" s="5" t="s">
        <v>250</v>
      </c>
      <c r="E65" s="5" t="s">
        <v>1009</v>
      </c>
      <c r="F65" s="6" t="s">
        <v>841</v>
      </c>
      <c r="G65" s="6" t="s">
        <v>842</v>
      </c>
      <c r="H65" s="6" t="s">
        <v>23</v>
      </c>
      <c r="I65" s="5" t="s">
        <v>867</v>
      </c>
      <c r="J65" s="5" t="s">
        <v>1008</v>
      </c>
      <c r="K65" s="5" t="s">
        <v>1010</v>
      </c>
      <c r="L65" s="5" t="s">
        <v>884</v>
      </c>
      <c r="M65" s="5" t="s">
        <v>167</v>
      </c>
      <c r="N65" s="5" t="s">
        <v>919</v>
      </c>
      <c r="O65" s="7"/>
      <c r="P65" s="5"/>
      <c r="Q65" s="5"/>
      <c r="R65" s="5" t="s">
        <v>897</v>
      </c>
      <c r="S65" s="6"/>
      <c r="T65" s="19" t="s">
        <v>1004</v>
      </c>
      <c r="U65" s="19" t="s">
        <v>1005</v>
      </c>
      <c r="V65" s="19" t="s">
        <v>241</v>
      </c>
      <c r="W65" s="19" t="s">
        <v>251</v>
      </c>
      <c r="X65" s="19" t="s">
        <v>1323</v>
      </c>
      <c r="Y65" s="19" t="s">
        <v>1345</v>
      </c>
    </row>
    <row r="66" spans="1:25" s="8" customFormat="1" ht="27" customHeight="1" x14ac:dyDescent="0.45">
      <c r="A66" s="4" t="s">
        <v>505</v>
      </c>
      <c r="B66" s="5" t="s">
        <v>239</v>
      </c>
      <c r="C66" s="5" t="s">
        <v>1000</v>
      </c>
      <c r="D66" s="5" t="s">
        <v>506</v>
      </c>
      <c r="E66" s="5" t="s">
        <v>1011</v>
      </c>
      <c r="F66" s="6" t="s">
        <v>841</v>
      </c>
      <c r="G66" s="6" t="s">
        <v>842</v>
      </c>
      <c r="H66" s="6" t="s">
        <v>58</v>
      </c>
      <c r="I66" s="5" t="s">
        <v>859</v>
      </c>
      <c r="J66" s="5" t="s">
        <v>845</v>
      </c>
      <c r="K66" s="5" t="s">
        <v>1012</v>
      </c>
      <c r="L66" s="5" t="s">
        <v>852</v>
      </c>
      <c r="M66" s="5" t="s">
        <v>167</v>
      </c>
      <c r="N66" s="5" t="s">
        <v>1013</v>
      </c>
      <c r="O66" s="7"/>
      <c r="P66" s="5"/>
      <c r="Q66" s="5"/>
      <c r="R66" s="5" t="s">
        <v>897</v>
      </c>
      <c r="S66" s="6"/>
      <c r="T66" s="19" t="s">
        <v>1004</v>
      </c>
      <c r="U66" s="19" t="s">
        <v>1005</v>
      </c>
      <c r="V66" s="19" t="s">
        <v>241</v>
      </c>
      <c r="W66" s="19" t="s">
        <v>507</v>
      </c>
      <c r="X66" s="19" t="s">
        <v>1323</v>
      </c>
      <c r="Y66" s="19" t="s">
        <v>1345</v>
      </c>
    </row>
    <row r="67" spans="1:25" s="8" customFormat="1" ht="27" customHeight="1" x14ac:dyDescent="0.45">
      <c r="A67" s="4" t="s">
        <v>508</v>
      </c>
      <c r="B67" s="5" t="s">
        <v>239</v>
      </c>
      <c r="C67" s="5" t="s">
        <v>1000</v>
      </c>
      <c r="D67" s="5" t="s">
        <v>509</v>
      </c>
      <c r="E67" s="5" t="s">
        <v>1014</v>
      </c>
      <c r="F67" s="6" t="s">
        <v>841</v>
      </c>
      <c r="G67" s="6" t="s">
        <v>842</v>
      </c>
      <c r="H67" s="6" t="s">
        <v>58</v>
      </c>
      <c r="I67" s="5" t="s">
        <v>843</v>
      </c>
      <c r="J67" s="5" t="s">
        <v>905</v>
      </c>
      <c r="K67" s="5" t="s">
        <v>845</v>
      </c>
      <c r="L67" s="5" t="s">
        <v>852</v>
      </c>
      <c r="M67" s="5" t="s">
        <v>167</v>
      </c>
      <c r="N67" s="5" t="s">
        <v>919</v>
      </c>
      <c r="O67" s="7"/>
      <c r="P67" s="5"/>
      <c r="Q67" s="5"/>
      <c r="R67" s="5" t="s">
        <v>897</v>
      </c>
      <c r="S67" s="6"/>
      <c r="T67" s="19" t="s">
        <v>1004</v>
      </c>
      <c r="U67" s="19" t="s">
        <v>1005</v>
      </c>
      <c r="V67" s="19" t="s">
        <v>241</v>
      </c>
      <c r="W67" s="19" t="s">
        <v>510</v>
      </c>
      <c r="X67" s="19" t="s">
        <v>1323</v>
      </c>
      <c r="Y67" s="19" t="s">
        <v>1345</v>
      </c>
    </row>
    <row r="68" spans="1:25" s="8" customFormat="1" ht="27" customHeight="1" x14ac:dyDescent="0.45">
      <c r="A68" s="4" t="s">
        <v>511</v>
      </c>
      <c r="B68" s="5" t="s">
        <v>239</v>
      </c>
      <c r="C68" s="5" t="s">
        <v>1000</v>
      </c>
      <c r="D68" s="5" t="s">
        <v>512</v>
      </c>
      <c r="E68" s="5" t="s">
        <v>1015</v>
      </c>
      <c r="F68" s="6" t="s">
        <v>841</v>
      </c>
      <c r="G68" s="6" t="s">
        <v>842</v>
      </c>
      <c r="H68" s="6" t="s">
        <v>58</v>
      </c>
      <c r="I68" s="5" t="s">
        <v>859</v>
      </c>
      <c r="J68" s="5" t="s">
        <v>1008</v>
      </c>
      <c r="K68" s="5" t="s">
        <v>905</v>
      </c>
      <c r="L68" s="5" t="s">
        <v>852</v>
      </c>
      <c r="M68" s="5" t="s">
        <v>167</v>
      </c>
      <c r="N68" s="5" t="s">
        <v>918</v>
      </c>
      <c r="O68" s="7"/>
      <c r="P68" s="5"/>
      <c r="Q68" s="5"/>
      <c r="R68" s="5" t="s">
        <v>853</v>
      </c>
      <c r="S68" s="6"/>
      <c r="T68" s="19" t="s">
        <v>1004</v>
      </c>
      <c r="U68" s="19" t="s">
        <v>1016</v>
      </c>
      <c r="V68" s="19" t="s">
        <v>255</v>
      </c>
      <c r="W68" s="19" t="s">
        <v>513</v>
      </c>
      <c r="X68" s="19" t="s">
        <v>1324</v>
      </c>
      <c r="Y68" s="19" t="s">
        <v>1345</v>
      </c>
    </row>
    <row r="69" spans="1:25" s="8" customFormat="1" ht="27" customHeight="1" x14ac:dyDescent="0.45">
      <c r="A69" s="4" t="s">
        <v>673</v>
      </c>
      <c r="B69" s="5" t="s">
        <v>239</v>
      </c>
      <c r="C69" s="5" t="s">
        <v>1000</v>
      </c>
      <c r="D69" s="5" t="s">
        <v>674</v>
      </c>
      <c r="E69" s="5" t="s">
        <v>1017</v>
      </c>
      <c r="F69" s="6" t="s">
        <v>841</v>
      </c>
      <c r="G69" s="6" t="s">
        <v>842</v>
      </c>
      <c r="H69" s="6" t="s">
        <v>671</v>
      </c>
      <c r="I69" s="5" t="s">
        <v>859</v>
      </c>
      <c r="J69" s="5" t="s">
        <v>1008</v>
      </c>
      <c r="K69" s="5" t="s">
        <v>845</v>
      </c>
      <c r="L69" s="5" t="s">
        <v>852</v>
      </c>
      <c r="M69" s="5" t="s">
        <v>167</v>
      </c>
      <c r="N69" s="5" t="s">
        <v>1018</v>
      </c>
      <c r="O69" s="7"/>
      <c r="P69" s="5"/>
      <c r="Q69" s="5"/>
      <c r="R69" s="5" t="s">
        <v>853</v>
      </c>
      <c r="S69" s="6"/>
      <c r="T69" s="19" t="s">
        <v>1004</v>
      </c>
      <c r="U69" s="19" t="s">
        <v>1016</v>
      </c>
      <c r="V69" s="19" t="s">
        <v>255</v>
      </c>
      <c r="W69" s="19" t="s">
        <v>675</v>
      </c>
      <c r="X69" s="19" t="s">
        <v>1324</v>
      </c>
      <c r="Y69" s="19" t="s">
        <v>1345</v>
      </c>
    </row>
    <row r="70" spans="1:25" s="8" customFormat="1" ht="27" customHeight="1" x14ac:dyDescent="0.45">
      <c r="A70" s="4" t="s">
        <v>514</v>
      </c>
      <c r="B70" s="5" t="s">
        <v>239</v>
      </c>
      <c r="C70" s="5" t="s">
        <v>1000</v>
      </c>
      <c r="D70" s="5" t="s">
        <v>515</v>
      </c>
      <c r="E70" s="5" t="s">
        <v>1019</v>
      </c>
      <c r="F70" s="6" t="s">
        <v>841</v>
      </c>
      <c r="G70" s="6" t="s">
        <v>842</v>
      </c>
      <c r="H70" s="6" t="s">
        <v>58</v>
      </c>
      <c r="I70" s="5" t="s">
        <v>843</v>
      </c>
      <c r="J70" s="5" t="s">
        <v>1008</v>
      </c>
      <c r="K70" s="5" t="s">
        <v>1020</v>
      </c>
      <c r="L70" s="5" t="s">
        <v>852</v>
      </c>
      <c r="M70" s="5" t="s">
        <v>167</v>
      </c>
      <c r="N70" s="5" t="s">
        <v>918</v>
      </c>
      <c r="O70" s="7"/>
      <c r="P70" s="5"/>
      <c r="Q70" s="5"/>
      <c r="R70" s="5" t="s">
        <v>897</v>
      </c>
      <c r="S70" s="6"/>
      <c r="T70" s="19" t="s">
        <v>1004</v>
      </c>
      <c r="U70" s="19" t="s">
        <v>1016</v>
      </c>
      <c r="V70" s="19" t="s">
        <v>255</v>
      </c>
      <c r="W70" s="19" t="s">
        <v>516</v>
      </c>
      <c r="X70" s="19" t="s">
        <v>1324</v>
      </c>
      <c r="Y70" s="19" t="s">
        <v>1345</v>
      </c>
    </row>
    <row r="71" spans="1:25" s="8" customFormat="1" ht="27" customHeight="1" x14ac:dyDescent="0.45">
      <c r="A71" s="4" t="s">
        <v>252</v>
      </c>
      <c r="B71" s="5" t="s">
        <v>239</v>
      </c>
      <c r="C71" s="5" t="s">
        <v>1000</v>
      </c>
      <c r="D71" s="5" t="s">
        <v>253</v>
      </c>
      <c r="E71" s="5" t="s">
        <v>1021</v>
      </c>
      <c r="F71" s="6" t="s">
        <v>841</v>
      </c>
      <c r="G71" s="6" t="s">
        <v>842</v>
      </c>
      <c r="H71" s="6" t="s">
        <v>23</v>
      </c>
      <c r="I71" s="5" t="s">
        <v>843</v>
      </c>
      <c r="J71" s="5" t="s">
        <v>1008</v>
      </c>
      <c r="K71" s="5" t="s">
        <v>1022</v>
      </c>
      <c r="L71" s="5" t="s">
        <v>852</v>
      </c>
      <c r="M71" s="5" t="s">
        <v>167</v>
      </c>
      <c r="N71" s="5" t="s">
        <v>1023</v>
      </c>
      <c r="O71" s="7"/>
      <c r="P71" s="5"/>
      <c r="Q71" s="5"/>
      <c r="R71" s="5" t="s">
        <v>897</v>
      </c>
      <c r="S71" s="6"/>
      <c r="T71" s="19" t="s">
        <v>1004</v>
      </c>
      <c r="U71" s="19" t="s">
        <v>1016</v>
      </c>
      <c r="V71" s="19" t="s">
        <v>255</v>
      </c>
      <c r="W71" s="19" t="s">
        <v>256</v>
      </c>
      <c r="X71" s="19" t="s">
        <v>1324</v>
      </c>
      <c r="Y71" s="19" t="s">
        <v>1345</v>
      </c>
    </row>
    <row r="72" spans="1:25" s="8" customFormat="1" ht="27" customHeight="1" x14ac:dyDescent="0.45">
      <c r="A72" s="4" t="s">
        <v>257</v>
      </c>
      <c r="B72" s="5" t="s">
        <v>239</v>
      </c>
      <c r="C72" s="5" t="s">
        <v>1000</v>
      </c>
      <c r="D72" s="5" t="s">
        <v>518</v>
      </c>
      <c r="E72" s="5" t="s">
        <v>1025</v>
      </c>
      <c r="F72" s="6" t="s">
        <v>841</v>
      </c>
      <c r="G72" s="6" t="s">
        <v>842</v>
      </c>
      <c r="H72" s="6" t="s">
        <v>58</v>
      </c>
      <c r="I72" s="5" t="s">
        <v>843</v>
      </c>
      <c r="J72" s="5" t="s">
        <v>845</v>
      </c>
      <c r="K72" s="5" t="s">
        <v>936</v>
      </c>
      <c r="L72" s="5" t="s">
        <v>852</v>
      </c>
      <c r="M72" s="5" t="s">
        <v>167</v>
      </c>
      <c r="N72" s="5" t="s">
        <v>918</v>
      </c>
      <c r="O72" s="7"/>
      <c r="P72" s="5"/>
      <c r="Q72" s="5"/>
      <c r="R72" s="5" t="s">
        <v>897</v>
      </c>
      <c r="S72" s="6"/>
      <c r="T72" s="19" t="s">
        <v>1004</v>
      </c>
      <c r="U72" s="19" t="s">
        <v>1016</v>
      </c>
      <c r="V72" s="19" t="s">
        <v>255</v>
      </c>
      <c r="W72" s="19" t="s">
        <v>519</v>
      </c>
      <c r="X72" s="19" t="s">
        <v>1324</v>
      </c>
      <c r="Y72" s="19" t="s">
        <v>1345</v>
      </c>
    </row>
    <row r="73" spans="1:25" s="8" customFormat="1" ht="27" customHeight="1" x14ac:dyDescent="0.45">
      <c r="A73" s="4" t="s">
        <v>517</v>
      </c>
      <c r="B73" s="5" t="s">
        <v>239</v>
      </c>
      <c r="C73" s="5" t="s">
        <v>1000</v>
      </c>
      <c r="D73" s="5" t="s">
        <v>521</v>
      </c>
      <c r="E73" s="5" t="s">
        <v>1026</v>
      </c>
      <c r="F73" s="6" t="s">
        <v>841</v>
      </c>
      <c r="G73" s="6" t="s">
        <v>842</v>
      </c>
      <c r="H73" s="6" t="s">
        <v>58</v>
      </c>
      <c r="I73" s="5" t="s">
        <v>867</v>
      </c>
      <c r="J73" s="5" t="s">
        <v>845</v>
      </c>
      <c r="K73" s="5" t="s">
        <v>853</v>
      </c>
      <c r="L73" s="5" t="s">
        <v>1027</v>
      </c>
      <c r="M73" s="5" t="s">
        <v>522</v>
      </c>
      <c r="N73" s="5" t="s">
        <v>995</v>
      </c>
      <c r="O73" s="7"/>
      <c r="P73" s="5"/>
      <c r="Q73" s="5"/>
      <c r="R73" s="5" t="s">
        <v>853</v>
      </c>
      <c r="S73" s="6"/>
      <c r="T73" s="19" t="s">
        <v>1004</v>
      </c>
      <c r="U73" s="19" t="s">
        <v>1016</v>
      </c>
      <c r="V73" s="19" t="s">
        <v>255</v>
      </c>
      <c r="W73" s="19" t="s">
        <v>523</v>
      </c>
      <c r="X73" s="19" t="s">
        <v>1324</v>
      </c>
      <c r="Y73" s="19" t="s">
        <v>1345</v>
      </c>
    </row>
    <row r="74" spans="1:25" s="8" customFormat="1" ht="27" customHeight="1" x14ac:dyDescent="0.45">
      <c r="A74" s="4" t="s">
        <v>520</v>
      </c>
      <c r="B74" s="5" t="s">
        <v>239</v>
      </c>
      <c r="C74" s="5" t="s">
        <v>1000</v>
      </c>
      <c r="D74" s="5" t="s">
        <v>525</v>
      </c>
      <c r="E74" s="5" t="s">
        <v>1028</v>
      </c>
      <c r="F74" s="6" t="s">
        <v>841</v>
      </c>
      <c r="G74" s="6" t="s">
        <v>842</v>
      </c>
      <c r="H74" s="6" t="s">
        <v>58</v>
      </c>
      <c r="I74" s="5" t="s">
        <v>859</v>
      </c>
      <c r="J74" s="5" t="s">
        <v>1008</v>
      </c>
      <c r="K74" s="5" t="s">
        <v>853</v>
      </c>
      <c r="L74" s="5" t="s">
        <v>846</v>
      </c>
      <c r="M74" s="5" t="s">
        <v>258</v>
      </c>
      <c r="N74" s="5" t="s">
        <v>1029</v>
      </c>
      <c r="O74" s="7"/>
      <c r="P74" s="5"/>
      <c r="Q74" s="5"/>
      <c r="R74" s="5" t="s">
        <v>853</v>
      </c>
      <c r="S74" s="6"/>
      <c r="T74" s="19" t="s">
        <v>1004</v>
      </c>
      <c r="U74" s="19" t="s">
        <v>1016</v>
      </c>
      <c r="V74" s="19" t="s">
        <v>255</v>
      </c>
      <c r="W74" s="19" t="s">
        <v>526</v>
      </c>
      <c r="X74" s="19" t="s">
        <v>1324</v>
      </c>
      <c r="Y74" s="19" t="s">
        <v>1345</v>
      </c>
    </row>
    <row r="75" spans="1:25" s="8" customFormat="1" ht="27" customHeight="1" x14ac:dyDescent="0.45">
      <c r="A75" s="4" t="s">
        <v>524</v>
      </c>
      <c r="B75" s="5" t="s">
        <v>239</v>
      </c>
      <c r="C75" s="5" t="s">
        <v>1000</v>
      </c>
      <c r="D75" s="5" t="s">
        <v>528</v>
      </c>
      <c r="E75" s="5" t="s">
        <v>1030</v>
      </c>
      <c r="F75" s="6" t="s">
        <v>841</v>
      </c>
      <c r="G75" s="6" t="s">
        <v>842</v>
      </c>
      <c r="H75" s="6" t="s">
        <v>58</v>
      </c>
      <c r="I75" s="5" t="s">
        <v>843</v>
      </c>
      <c r="J75" s="5" t="s">
        <v>1008</v>
      </c>
      <c r="K75" s="5" t="s">
        <v>1031</v>
      </c>
      <c r="L75" s="5" t="s">
        <v>884</v>
      </c>
      <c r="M75" s="5" t="s">
        <v>167</v>
      </c>
      <c r="N75" s="5" t="s">
        <v>918</v>
      </c>
      <c r="O75" s="7"/>
      <c r="P75" s="5"/>
      <c r="Q75" s="5"/>
      <c r="R75" s="5" t="s">
        <v>853</v>
      </c>
      <c r="S75" s="6"/>
      <c r="T75" s="19" t="s">
        <v>1004</v>
      </c>
      <c r="U75" s="19" t="s">
        <v>1032</v>
      </c>
      <c r="V75" s="19" t="s">
        <v>530</v>
      </c>
      <c r="W75" s="19" t="s">
        <v>531</v>
      </c>
      <c r="X75" s="19" t="s">
        <v>1323</v>
      </c>
      <c r="Y75" s="19" t="s">
        <v>1345</v>
      </c>
    </row>
    <row r="76" spans="1:25" s="8" customFormat="1" ht="27" customHeight="1" x14ac:dyDescent="0.45">
      <c r="A76" s="4" t="s">
        <v>527</v>
      </c>
      <c r="B76" s="5" t="s">
        <v>239</v>
      </c>
      <c r="C76" s="5" t="s">
        <v>1000</v>
      </c>
      <c r="D76" s="5" t="s">
        <v>532</v>
      </c>
      <c r="E76" s="5" t="s">
        <v>1033</v>
      </c>
      <c r="F76" s="6" t="s">
        <v>841</v>
      </c>
      <c r="G76" s="6" t="s">
        <v>842</v>
      </c>
      <c r="H76" s="6" t="s">
        <v>58</v>
      </c>
      <c r="I76" s="5" t="s">
        <v>843</v>
      </c>
      <c r="J76" s="5" t="s">
        <v>1008</v>
      </c>
      <c r="K76" s="5" t="s">
        <v>1034</v>
      </c>
      <c r="L76" s="5" t="s">
        <v>846</v>
      </c>
      <c r="M76" s="5" t="s">
        <v>167</v>
      </c>
      <c r="N76" s="5" t="s">
        <v>1018</v>
      </c>
      <c r="O76" s="7"/>
      <c r="P76" s="5"/>
      <c r="Q76" s="5"/>
      <c r="R76" s="5" t="s">
        <v>853</v>
      </c>
      <c r="S76" s="6"/>
      <c r="T76" s="19" t="s">
        <v>1004</v>
      </c>
      <c r="U76" s="19" t="s">
        <v>1032</v>
      </c>
      <c r="V76" s="19" t="s">
        <v>530</v>
      </c>
      <c r="W76" s="19" t="s">
        <v>533</v>
      </c>
      <c r="X76" s="19" t="s">
        <v>1323</v>
      </c>
      <c r="Y76" s="19" t="s">
        <v>1345</v>
      </c>
    </row>
    <row r="77" spans="1:25" s="8" customFormat="1" ht="27" customHeight="1" x14ac:dyDescent="0.45">
      <c r="A77" s="4" t="s">
        <v>259</v>
      </c>
      <c r="B77" s="5" t="s">
        <v>260</v>
      </c>
      <c r="C77" s="5" t="s">
        <v>1035</v>
      </c>
      <c r="D77" s="5" t="s">
        <v>265</v>
      </c>
      <c r="E77" s="5" t="s">
        <v>1037</v>
      </c>
      <c r="F77" s="6" t="s">
        <v>841</v>
      </c>
      <c r="G77" s="6" t="s">
        <v>842</v>
      </c>
      <c r="H77" s="6" t="s">
        <v>23</v>
      </c>
      <c r="I77" s="5" t="s">
        <v>859</v>
      </c>
      <c r="J77" s="5" t="s">
        <v>905</v>
      </c>
      <c r="K77" s="5" t="s">
        <v>925</v>
      </c>
      <c r="L77" s="5" t="s">
        <v>852</v>
      </c>
      <c r="M77" s="5" t="s">
        <v>261</v>
      </c>
      <c r="N77" s="5" t="s">
        <v>1018</v>
      </c>
      <c r="O77" s="7"/>
      <c r="P77" s="5"/>
      <c r="Q77" s="5"/>
      <c r="R77" s="5" t="s">
        <v>848</v>
      </c>
      <c r="S77" s="6"/>
      <c r="T77" s="19" t="s">
        <v>1004</v>
      </c>
      <c r="U77" s="19" t="s">
        <v>1036</v>
      </c>
      <c r="V77" s="19" t="s">
        <v>263</v>
      </c>
      <c r="W77" s="19" t="s">
        <v>266</v>
      </c>
      <c r="X77" s="19" t="s">
        <v>905</v>
      </c>
      <c r="Y77" s="19" t="s">
        <v>1345</v>
      </c>
    </row>
    <row r="78" spans="1:25" s="8" customFormat="1" ht="27" customHeight="1" x14ac:dyDescent="0.45">
      <c r="A78" s="4" t="s">
        <v>264</v>
      </c>
      <c r="B78" s="5" t="s">
        <v>260</v>
      </c>
      <c r="C78" s="5" t="s">
        <v>1035</v>
      </c>
      <c r="D78" s="5" t="s">
        <v>535</v>
      </c>
      <c r="E78" s="5" t="s">
        <v>1038</v>
      </c>
      <c r="F78" s="6" t="s">
        <v>841</v>
      </c>
      <c r="G78" s="6" t="s">
        <v>842</v>
      </c>
      <c r="H78" s="6" t="s">
        <v>58</v>
      </c>
      <c r="I78" s="5" t="s">
        <v>843</v>
      </c>
      <c r="J78" s="5" t="s">
        <v>905</v>
      </c>
      <c r="K78" s="5" t="s">
        <v>844</v>
      </c>
      <c r="L78" s="5" t="s">
        <v>1039</v>
      </c>
      <c r="M78" s="5" t="s">
        <v>261</v>
      </c>
      <c r="N78" s="5" t="s">
        <v>1018</v>
      </c>
      <c r="O78" s="7"/>
      <c r="P78" s="5"/>
      <c r="Q78" s="5"/>
      <c r="R78" s="5" t="s">
        <v>853</v>
      </c>
      <c r="S78" s="6"/>
      <c r="T78" s="19" t="s">
        <v>1004</v>
      </c>
      <c r="U78" s="19" t="s">
        <v>1036</v>
      </c>
      <c r="V78" s="19" t="s">
        <v>263</v>
      </c>
      <c r="W78" s="19" t="s">
        <v>536</v>
      </c>
      <c r="X78" s="19" t="s">
        <v>905</v>
      </c>
      <c r="Y78" s="19" t="s">
        <v>1345</v>
      </c>
    </row>
    <row r="79" spans="1:25" s="8" customFormat="1" ht="27" customHeight="1" x14ac:dyDescent="0.45">
      <c r="A79" s="4" t="s">
        <v>267</v>
      </c>
      <c r="B79" s="5" t="s">
        <v>260</v>
      </c>
      <c r="C79" s="5" t="s">
        <v>1035</v>
      </c>
      <c r="D79" s="5" t="s">
        <v>538</v>
      </c>
      <c r="E79" s="5" t="s">
        <v>1040</v>
      </c>
      <c r="F79" s="6" t="s">
        <v>841</v>
      </c>
      <c r="G79" s="6" t="s">
        <v>842</v>
      </c>
      <c r="H79" s="6" t="s">
        <v>58</v>
      </c>
      <c r="I79" s="5" t="s">
        <v>859</v>
      </c>
      <c r="J79" s="5" t="s">
        <v>905</v>
      </c>
      <c r="K79" s="5" t="s">
        <v>851</v>
      </c>
      <c r="L79" s="5" t="s">
        <v>852</v>
      </c>
      <c r="M79" s="5" t="s">
        <v>32</v>
      </c>
      <c r="N79" s="5" t="s">
        <v>1018</v>
      </c>
      <c r="O79" s="7"/>
      <c r="P79" s="5"/>
      <c r="Q79" s="5"/>
      <c r="R79" s="5" t="s">
        <v>853</v>
      </c>
      <c r="S79" s="6"/>
      <c r="T79" s="19" t="s">
        <v>1004</v>
      </c>
      <c r="U79" s="19" t="s">
        <v>1036</v>
      </c>
      <c r="V79" s="19" t="s">
        <v>263</v>
      </c>
      <c r="W79" s="19" t="s">
        <v>539</v>
      </c>
      <c r="X79" s="19" t="s">
        <v>905</v>
      </c>
      <c r="Y79" s="19" t="s">
        <v>1345</v>
      </c>
    </row>
    <row r="80" spans="1:25" s="8" customFormat="1" ht="27" customHeight="1" x14ac:dyDescent="0.45">
      <c r="A80" s="4" t="s">
        <v>534</v>
      </c>
      <c r="B80" s="5" t="s">
        <v>260</v>
      </c>
      <c r="C80" s="5" t="s">
        <v>1035</v>
      </c>
      <c r="D80" s="5" t="s">
        <v>541</v>
      </c>
      <c r="E80" s="5" t="s">
        <v>1041</v>
      </c>
      <c r="F80" s="6" t="s">
        <v>841</v>
      </c>
      <c r="G80" s="6" t="s">
        <v>842</v>
      </c>
      <c r="H80" s="6" t="s">
        <v>58</v>
      </c>
      <c r="I80" s="5" t="s">
        <v>843</v>
      </c>
      <c r="J80" s="5" t="s">
        <v>1008</v>
      </c>
      <c r="K80" s="5" t="s">
        <v>905</v>
      </c>
      <c r="L80" s="5" t="s">
        <v>852</v>
      </c>
      <c r="M80" s="5" t="s">
        <v>542</v>
      </c>
      <c r="N80" s="5" t="s">
        <v>1018</v>
      </c>
      <c r="O80" s="7"/>
      <c r="P80" s="5"/>
      <c r="Q80" s="5"/>
      <c r="R80" s="5" t="s">
        <v>897</v>
      </c>
      <c r="S80" s="6"/>
      <c r="T80" s="19" t="s">
        <v>1004</v>
      </c>
      <c r="U80" s="19" t="s">
        <v>1042</v>
      </c>
      <c r="V80" s="19" t="s">
        <v>272</v>
      </c>
      <c r="W80" s="19" t="s">
        <v>543</v>
      </c>
      <c r="X80" s="19" t="s">
        <v>905</v>
      </c>
      <c r="Y80" s="19" t="s">
        <v>1345</v>
      </c>
    </row>
    <row r="81" spans="1:25" s="8" customFormat="1" ht="27" customHeight="1" x14ac:dyDescent="0.45">
      <c r="A81" s="4" t="s">
        <v>537</v>
      </c>
      <c r="B81" s="5" t="s">
        <v>260</v>
      </c>
      <c r="C81" s="5" t="s">
        <v>1035</v>
      </c>
      <c r="D81" s="5" t="s">
        <v>269</v>
      </c>
      <c r="E81" s="5" t="s">
        <v>1043</v>
      </c>
      <c r="F81" s="6" t="s">
        <v>841</v>
      </c>
      <c r="G81" s="6" t="s">
        <v>842</v>
      </c>
      <c r="H81" s="6" t="s">
        <v>23</v>
      </c>
      <c r="I81" s="5" t="s">
        <v>843</v>
      </c>
      <c r="J81" s="5" t="s">
        <v>905</v>
      </c>
      <c r="K81" s="5" t="s">
        <v>845</v>
      </c>
      <c r="L81" s="5" t="s">
        <v>852</v>
      </c>
      <c r="M81" s="5" t="s">
        <v>270</v>
      </c>
      <c r="N81" s="5" t="s">
        <v>1018</v>
      </c>
      <c r="O81" s="7"/>
      <c r="P81" s="5"/>
      <c r="Q81" s="5"/>
      <c r="R81" s="5" t="s">
        <v>870</v>
      </c>
      <c r="S81" s="6"/>
      <c r="T81" s="19" t="s">
        <v>1004</v>
      </c>
      <c r="U81" s="19" t="s">
        <v>1042</v>
      </c>
      <c r="V81" s="19" t="s">
        <v>272</v>
      </c>
      <c r="W81" s="19" t="s">
        <v>273</v>
      </c>
      <c r="X81" s="19" t="s">
        <v>905</v>
      </c>
      <c r="Y81" s="19" t="s">
        <v>1345</v>
      </c>
    </row>
    <row r="82" spans="1:25" s="8" customFormat="1" ht="27" customHeight="1" x14ac:dyDescent="0.45">
      <c r="A82" s="4" t="s">
        <v>540</v>
      </c>
      <c r="B82" s="5" t="s">
        <v>260</v>
      </c>
      <c r="C82" s="5" t="s">
        <v>1035</v>
      </c>
      <c r="D82" s="5" t="s">
        <v>545</v>
      </c>
      <c r="E82" s="5" t="s">
        <v>1044</v>
      </c>
      <c r="F82" s="6" t="s">
        <v>841</v>
      </c>
      <c r="G82" s="6" t="s">
        <v>842</v>
      </c>
      <c r="H82" s="6" t="s">
        <v>58</v>
      </c>
      <c r="I82" s="5" t="s">
        <v>859</v>
      </c>
      <c r="J82" s="5" t="s">
        <v>905</v>
      </c>
      <c r="K82" s="5" t="s">
        <v>930</v>
      </c>
      <c r="L82" s="5" t="s">
        <v>852</v>
      </c>
      <c r="M82" s="5" t="s">
        <v>270</v>
      </c>
      <c r="N82" s="5" t="s">
        <v>1018</v>
      </c>
      <c r="O82" s="7"/>
      <c r="P82" s="5"/>
      <c r="Q82" s="5"/>
      <c r="R82" s="5" t="s">
        <v>853</v>
      </c>
      <c r="S82" s="6"/>
      <c r="T82" s="19" t="s">
        <v>1004</v>
      </c>
      <c r="U82" s="19" t="s">
        <v>1045</v>
      </c>
      <c r="V82" s="19" t="s">
        <v>281</v>
      </c>
      <c r="W82" s="19" t="s">
        <v>546</v>
      </c>
      <c r="X82" s="19" t="s">
        <v>905</v>
      </c>
      <c r="Y82" s="19" t="s">
        <v>1345</v>
      </c>
    </row>
    <row r="83" spans="1:25" s="8" customFormat="1" ht="27" customHeight="1" x14ac:dyDescent="0.45">
      <c r="A83" s="4" t="s">
        <v>268</v>
      </c>
      <c r="B83" s="5" t="s">
        <v>260</v>
      </c>
      <c r="C83" s="5" t="s">
        <v>1035</v>
      </c>
      <c r="D83" s="5" t="s">
        <v>279</v>
      </c>
      <c r="E83" s="5" t="s">
        <v>1046</v>
      </c>
      <c r="F83" s="6" t="s">
        <v>841</v>
      </c>
      <c r="G83" s="6" t="s">
        <v>842</v>
      </c>
      <c r="H83" s="6" t="s">
        <v>23</v>
      </c>
      <c r="I83" s="5" t="s">
        <v>843</v>
      </c>
      <c r="J83" s="5" t="s">
        <v>905</v>
      </c>
      <c r="K83" s="5" t="s">
        <v>874</v>
      </c>
      <c r="L83" s="5" t="s">
        <v>1047</v>
      </c>
      <c r="M83" s="5" t="s">
        <v>258</v>
      </c>
      <c r="N83" s="5" t="s">
        <v>1018</v>
      </c>
      <c r="O83" s="7"/>
      <c r="P83" s="5"/>
      <c r="Q83" s="5"/>
      <c r="R83" s="5" t="s">
        <v>848</v>
      </c>
      <c r="S83" s="6"/>
      <c r="T83" s="19" t="s">
        <v>1004</v>
      </c>
      <c r="U83" s="19" t="s">
        <v>1045</v>
      </c>
      <c r="V83" s="19" t="s">
        <v>281</v>
      </c>
      <c r="W83" s="19" t="s">
        <v>282</v>
      </c>
      <c r="X83" s="19" t="s">
        <v>905</v>
      </c>
      <c r="Y83" s="19" t="s">
        <v>1345</v>
      </c>
    </row>
    <row r="84" spans="1:25" s="8" customFormat="1" ht="27" customHeight="1" x14ac:dyDescent="0.45">
      <c r="A84" s="4" t="s">
        <v>274</v>
      </c>
      <c r="B84" s="5" t="s">
        <v>260</v>
      </c>
      <c r="C84" s="5" t="s">
        <v>1035</v>
      </c>
      <c r="D84" s="5" t="s">
        <v>283</v>
      </c>
      <c r="E84" s="5" t="s">
        <v>1048</v>
      </c>
      <c r="F84" s="6" t="s">
        <v>841</v>
      </c>
      <c r="G84" s="6" t="s">
        <v>842</v>
      </c>
      <c r="H84" s="6" t="s">
        <v>23</v>
      </c>
      <c r="I84" s="5" t="s">
        <v>867</v>
      </c>
      <c r="J84" s="5" t="s">
        <v>905</v>
      </c>
      <c r="K84" s="5" t="s">
        <v>845</v>
      </c>
      <c r="L84" s="5" t="s">
        <v>879</v>
      </c>
      <c r="M84" s="5" t="s">
        <v>258</v>
      </c>
      <c r="N84" s="5" t="s">
        <v>1018</v>
      </c>
      <c r="O84" s="7"/>
      <c r="P84" s="5"/>
      <c r="Q84" s="5"/>
      <c r="R84" s="5" t="s">
        <v>897</v>
      </c>
      <c r="S84" s="6"/>
      <c r="T84" s="19" t="s">
        <v>1004</v>
      </c>
      <c r="U84" s="19" t="s">
        <v>1045</v>
      </c>
      <c r="V84" s="19" t="s">
        <v>281</v>
      </c>
      <c r="W84" s="19" t="s">
        <v>284</v>
      </c>
      <c r="X84" s="19" t="s">
        <v>905</v>
      </c>
      <c r="Y84" s="19" t="s">
        <v>1345</v>
      </c>
    </row>
    <row r="85" spans="1:25" s="8" customFormat="1" ht="27" customHeight="1" x14ac:dyDescent="0.45">
      <c r="A85" s="4" t="s">
        <v>275</v>
      </c>
      <c r="B85" s="5" t="s">
        <v>260</v>
      </c>
      <c r="C85" s="5" t="s">
        <v>1035</v>
      </c>
      <c r="D85" s="5" t="s">
        <v>1338</v>
      </c>
      <c r="E85" s="5" t="s">
        <v>1049</v>
      </c>
      <c r="F85" s="6" t="s">
        <v>841</v>
      </c>
      <c r="G85" s="6" t="s">
        <v>842</v>
      </c>
      <c r="H85" s="6" t="s">
        <v>23</v>
      </c>
      <c r="I85" s="5" t="s">
        <v>867</v>
      </c>
      <c r="J85" s="5" t="s">
        <v>845</v>
      </c>
      <c r="K85" s="5" t="s">
        <v>1050</v>
      </c>
      <c r="L85" s="5" t="s">
        <v>879</v>
      </c>
      <c r="M85" s="5" t="s">
        <v>258</v>
      </c>
      <c r="N85" s="5" t="s">
        <v>1018</v>
      </c>
      <c r="O85" s="7"/>
      <c r="P85" s="5"/>
      <c r="Q85" s="5"/>
      <c r="R85" s="5" t="s">
        <v>853</v>
      </c>
      <c r="S85" s="6"/>
      <c r="T85" s="19" t="s">
        <v>1004</v>
      </c>
      <c r="U85" s="19" t="s">
        <v>1045</v>
      </c>
      <c r="V85" s="19" t="s">
        <v>281</v>
      </c>
      <c r="W85" s="19" t="s">
        <v>285</v>
      </c>
      <c r="X85" s="19" t="s">
        <v>905</v>
      </c>
      <c r="Y85" s="19" t="s">
        <v>1345</v>
      </c>
    </row>
    <row r="86" spans="1:25" s="8" customFormat="1" ht="27" customHeight="1" x14ac:dyDescent="0.45">
      <c r="A86" s="4" t="s">
        <v>276</v>
      </c>
      <c r="B86" s="5" t="s">
        <v>260</v>
      </c>
      <c r="C86" s="5" t="s">
        <v>1035</v>
      </c>
      <c r="D86" s="5" t="s">
        <v>547</v>
      </c>
      <c r="E86" s="5" t="s">
        <v>1051</v>
      </c>
      <c r="F86" s="6" t="s">
        <v>841</v>
      </c>
      <c r="G86" s="6" t="s">
        <v>842</v>
      </c>
      <c r="H86" s="6" t="s">
        <v>58</v>
      </c>
      <c r="I86" s="5" t="s">
        <v>867</v>
      </c>
      <c r="J86" s="5" t="s">
        <v>905</v>
      </c>
      <c r="K86" s="5" t="s">
        <v>845</v>
      </c>
      <c r="L86" s="5" t="s">
        <v>879</v>
      </c>
      <c r="M86" s="5" t="s">
        <v>548</v>
      </c>
      <c r="N86" s="5" t="s">
        <v>1052</v>
      </c>
      <c r="O86" s="7"/>
      <c r="P86" s="5"/>
      <c r="Q86" s="5"/>
      <c r="R86" s="5" t="s">
        <v>848</v>
      </c>
      <c r="S86" s="6"/>
      <c r="T86" s="19" t="s">
        <v>1004</v>
      </c>
      <c r="U86" s="19" t="s">
        <v>1045</v>
      </c>
      <c r="V86" s="19" t="s">
        <v>281</v>
      </c>
      <c r="W86" s="19" t="s">
        <v>549</v>
      </c>
      <c r="X86" s="19" t="s">
        <v>905</v>
      </c>
      <c r="Y86" s="19" t="s">
        <v>1345</v>
      </c>
    </row>
    <row r="87" spans="1:25" s="8" customFormat="1" ht="27" customHeight="1" x14ac:dyDescent="0.45">
      <c r="A87" s="4" t="s">
        <v>277</v>
      </c>
      <c r="B87" s="5" t="s">
        <v>260</v>
      </c>
      <c r="C87" s="5" t="s">
        <v>1035</v>
      </c>
      <c r="D87" s="5" t="s">
        <v>550</v>
      </c>
      <c r="E87" s="5" t="s">
        <v>1053</v>
      </c>
      <c r="F87" s="6" t="s">
        <v>841</v>
      </c>
      <c r="G87" s="6" t="s">
        <v>842</v>
      </c>
      <c r="H87" s="6" t="s">
        <v>58</v>
      </c>
      <c r="I87" s="5" t="s">
        <v>859</v>
      </c>
      <c r="J87" s="5" t="s">
        <v>905</v>
      </c>
      <c r="K87" s="5" t="s">
        <v>845</v>
      </c>
      <c r="L87" s="5" t="s">
        <v>852</v>
      </c>
      <c r="M87" s="5" t="s">
        <v>258</v>
      </c>
      <c r="N87" s="5" t="s">
        <v>1018</v>
      </c>
      <c r="O87" s="7"/>
      <c r="P87" s="5"/>
      <c r="Q87" s="5"/>
      <c r="R87" s="5" t="s">
        <v>853</v>
      </c>
      <c r="S87" s="6"/>
      <c r="T87" s="19" t="s">
        <v>1004</v>
      </c>
      <c r="U87" s="19" t="s">
        <v>1045</v>
      </c>
      <c r="V87" s="19" t="s">
        <v>281</v>
      </c>
      <c r="W87" s="19" t="s">
        <v>551</v>
      </c>
      <c r="X87" s="19" t="s">
        <v>905</v>
      </c>
      <c r="Y87" s="19" t="s">
        <v>1345</v>
      </c>
    </row>
    <row r="88" spans="1:25" s="8" customFormat="1" ht="27" customHeight="1" x14ac:dyDescent="0.45">
      <c r="A88" s="4" t="s">
        <v>278</v>
      </c>
      <c r="B88" s="5" t="s">
        <v>260</v>
      </c>
      <c r="C88" s="5" t="s">
        <v>1035</v>
      </c>
      <c r="D88" s="5" t="s">
        <v>286</v>
      </c>
      <c r="E88" s="5" t="s">
        <v>1054</v>
      </c>
      <c r="F88" s="6" t="s">
        <v>841</v>
      </c>
      <c r="G88" s="6" t="s">
        <v>842</v>
      </c>
      <c r="H88" s="6" t="s">
        <v>23</v>
      </c>
      <c r="I88" s="5" t="s">
        <v>859</v>
      </c>
      <c r="J88" s="5" t="s">
        <v>905</v>
      </c>
      <c r="K88" s="5" t="s">
        <v>1008</v>
      </c>
      <c r="L88" s="5" t="s">
        <v>852</v>
      </c>
      <c r="M88" s="5" t="s">
        <v>258</v>
      </c>
      <c r="N88" s="5" t="s">
        <v>1018</v>
      </c>
      <c r="O88" s="7"/>
      <c r="P88" s="5"/>
      <c r="Q88" s="5"/>
      <c r="R88" s="5" t="s">
        <v>853</v>
      </c>
      <c r="S88" s="6"/>
      <c r="T88" s="19" t="s">
        <v>1004</v>
      </c>
      <c r="U88" s="19" t="s">
        <v>1045</v>
      </c>
      <c r="V88" s="19" t="s">
        <v>281</v>
      </c>
      <c r="W88" s="19" t="s">
        <v>287</v>
      </c>
      <c r="X88" s="19" t="s">
        <v>905</v>
      </c>
      <c r="Y88" s="19" t="s">
        <v>1345</v>
      </c>
    </row>
    <row r="89" spans="1:25" s="8" customFormat="1" ht="27" customHeight="1" x14ac:dyDescent="0.45">
      <c r="A89" s="4" t="s">
        <v>544</v>
      </c>
      <c r="B89" s="5" t="s">
        <v>260</v>
      </c>
      <c r="C89" s="5" t="s">
        <v>1035</v>
      </c>
      <c r="D89" s="5" t="s">
        <v>686</v>
      </c>
      <c r="E89" s="5" t="s">
        <v>1055</v>
      </c>
      <c r="F89" s="6" t="s">
        <v>841</v>
      </c>
      <c r="G89" s="6" t="s">
        <v>842</v>
      </c>
      <c r="H89" s="6" t="s">
        <v>687</v>
      </c>
      <c r="I89" s="5" t="s">
        <v>859</v>
      </c>
      <c r="J89" s="5" t="s">
        <v>1008</v>
      </c>
      <c r="K89" s="5" t="s">
        <v>905</v>
      </c>
      <c r="L89" s="5" t="s">
        <v>852</v>
      </c>
      <c r="M89" s="5" t="s">
        <v>688</v>
      </c>
      <c r="N89" s="5" t="s">
        <v>1018</v>
      </c>
      <c r="O89" s="7"/>
      <c r="P89" s="5"/>
      <c r="Q89" s="5"/>
      <c r="R89" s="5" t="s">
        <v>853</v>
      </c>
      <c r="S89" s="6"/>
      <c r="T89" s="19" t="s">
        <v>1004</v>
      </c>
      <c r="U89" s="19" t="s">
        <v>1045</v>
      </c>
      <c r="V89" s="19" t="s">
        <v>281</v>
      </c>
      <c r="W89" s="19" t="s">
        <v>689</v>
      </c>
      <c r="X89" s="19" t="s">
        <v>905</v>
      </c>
      <c r="Y89" s="19" t="s">
        <v>1345</v>
      </c>
    </row>
    <row r="90" spans="1:25" s="8" customFormat="1" ht="27" customHeight="1" x14ac:dyDescent="0.45">
      <c r="A90" s="4" t="s">
        <v>288</v>
      </c>
      <c r="B90" s="5" t="s">
        <v>290</v>
      </c>
      <c r="C90" s="5" t="s">
        <v>1056</v>
      </c>
      <c r="D90" s="5" t="s">
        <v>289</v>
      </c>
      <c r="E90" s="5" t="s">
        <v>1057</v>
      </c>
      <c r="F90" s="6" t="s">
        <v>841</v>
      </c>
      <c r="G90" s="6" t="s">
        <v>842</v>
      </c>
      <c r="H90" s="6" t="s">
        <v>23</v>
      </c>
      <c r="I90" s="5" t="s">
        <v>859</v>
      </c>
      <c r="J90" s="5" t="s">
        <v>845</v>
      </c>
      <c r="K90" s="5" t="s">
        <v>995</v>
      </c>
      <c r="L90" s="5" t="s">
        <v>852</v>
      </c>
      <c r="M90" s="5" t="s">
        <v>215</v>
      </c>
      <c r="N90" s="5" t="s">
        <v>919</v>
      </c>
      <c r="O90" s="7"/>
      <c r="P90" s="5"/>
      <c r="Q90" s="5"/>
      <c r="R90" s="5" t="s">
        <v>897</v>
      </c>
      <c r="S90" s="6"/>
      <c r="T90" s="19" t="s">
        <v>1058</v>
      </c>
      <c r="U90" s="19" t="s">
        <v>1059</v>
      </c>
      <c r="V90" s="19" t="s">
        <v>292</v>
      </c>
      <c r="W90" s="19" t="s">
        <v>293</v>
      </c>
      <c r="X90" s="19" t="s">
        <v>1323</v>
      </c>
      <c r="Y90" s="19" t="s">
        <v>1345</v>
      </c>
    </row>
    <row r="91" spans="1:25" s="8" customFormat="1" ht="27" customHeight="1" x14ac:dyDescent="0.45">
      <c r="A91" s="4" t="s">
        <v>294</v>
      </c>
      <c r="B91" s="5" t="s">
        <v>290</v>
      </c>
      <c r="C91" s="5" t="s">
        <v>1056</v>
      </c>
      <c r="D91" s="5" t="s">
        <v>295</v>
      </c>
      <c r="E91" s="5" t="s">
        <v>1060</v>
      </c>
      <c r="F91" s="6" t="s">
        <v>841</v>
      </c>
      <c r="G91" s="6" t="s">
        <v>842</v>
      </c>
      <c r="H91" s="6" t="s">
        <v>23</v>
      </c>
      <c r="I91" s="5" t="s">
        <v>859</v>
      </c>
      <c r="J91" s="5" t="s">
        <v>895</v>
      </c>
      <c r="K91" s="5" t="s">
        <v>845</v>
      </c>
      <c r="L91" s="5" t="s">
        <v>852</v>
      </c>
      <c r="M91" s="5" t="s">
        <v>167</v>
      </c>
      <c r="N91" s="5" t="s">
        <v>847</v>
      </c>
      <c r="O91" s="7"/>
      <c r="P91" s="5"/>
      <c r="Q91" s="5"/>
      <c r="R91" s="5" t="s">
        <v>848</v>
      </c>
      <c r="S91" s="6"/>
      <c r="T91" s="19" t="s">
        <v>1061</v>
      </c>
      <c r="U91" s="19" t="s">
        <v>1062</v>
      </c>
      <c r="V91" s="19" t="s">
        <v>297</v>
      </c>
      <c r="W91" s="19" t="s">
        <v>298</v>
      </c>
      <c r="X91" s="19" t="s">
        <v>1324</v>
      </c>
      <c r="Y91" s="19" t="s">
        <v>1345</v>
      </c>
    </row>
    <row r="92" spans="1:25" s="8" customFormat="1" ht="27" customHeight="1" x14ac:dyDescent="0.45">
      <c r="A92" s="4" t="s">
        <v>299</v>
      </c>
      <c r="B92" s="5" t="s">
        <v>290</v>
      </c>
      <c r="C92" s="5" t="s">
        <v>1056</v>
      </c>
      <c r="D92" s="5" t="s">
        <v>306</v>
      </c>
      <c r="E92" s="5" t="s">
        <v>1066</v>
      </c>
      <c r="F92" s="6" t="s">
        <v>841</v>
      </c>
      <c r="G92" s="6" t="s">
        <v>842</v>
      </c>
      <c r="H92" s="6" t="s">
        <v>23</v>
      </c>
      <c r="I92" s="5" t="s">
        <v>843</v>
      </c>
      <c r="J92" s="5" t="s">
        <v>873</v>
      </c>
      <c r="K92" s="5" t="s">
        <v>1031</v>
      </c>
      <c r="L92" s="5" t="s">
        <v>1047</v>
      </c>
      <c r="M92" s="5" t="s">
        <v>258</v>
      </c>
      <c r="N92" s="5" t="s">
        <v>1018</v>
      </c>
      <c r="O92" s="7"/>
      <c r="P92" s="5"/>
      <c r="Q92" s="5"/>
      <c r="R92" s="5" t="s">
        <v>853</v>
      </c>
      <c r="S92" s="6"/>
      <c r="T92" s="19" t="s">
        <v>1058</v>
      </c>
      <c r="U92" s="19" t="s">
        <v>1064</v>
      </c>
      <c r="V92" s="19" t="s">
        <v>301</v>
      </c>
      <c r="W92" s="19" t="s">
        <v>307</v>
      </c>
      <c r="X92" s="19" t="s">
        <v>905</v>
      </c>
      <c r="Y92" s="19" t="s">
        <v>1345</v>
      </c>
    </row>
    <row r="93" spans="1:25" s="8" customFormat="1" ht="27" customHeight="1" x14ac:dyDescent="0.45">
      <c r="A93" s="4" t="s">
        <v>302</v>
      </c>
      <c r="B93" s="5" t="s">
        <v>290</v>
      </c>
      <c r="C93" s="5" t="s">
        <v>1056</v>
      </c>
      <c r="D93" s="5" t="s">
        <v>553</v>
      </c>
      <c r="E93" s="5" t="s">
        <v>1067</v>
      </c>
      <c r="F93" s="6" t="s">
        <v>841</v>
      </c>
      <c r="G93" s="6" t="s">
        <v>842</v>
      </c>
      <c r="H93" s="6" t="s">
        <v>58</v>
      </c>
      <c r="I93" s="5" t="s">
        <v>859</v>
      </c>
      <c r="J93" s="5" t="s">
        <v>845</v>
      </c>
      <c r="K93" s="5" t="s">
        <v>1068</v>
      </c>
      <c r="L93" s="5" t="s">
        <v>852</v>
      </c>
      <c r="M93" s="5" t="s">
        <v>258</v>
      </c>
      <c r="N93" s="5" t="s">
        <v>1018</v>
      </c>
      <c r="O93" s="7"/>
      <c r="P93" s="5"/>
      <c r="Q93" s="5"/>
      <c r="R93" s="5" t="s">
        <v>853</v>
      </c>
      <c r="S93" s="6"/>
      <c r="T93" s="19" t="s">
        <v>1058</v>
      </c>
      <c r="U93" s="19" t="s">
        <v>1064</v>
      </c>
      <c r="V93" s="19" t="s">
        <v>301</v>
      </c>
      <c r="W93" s="19" t="s">
        <v>554</v>
      </c>
      <c r="X93" s="19" t="s">
        <v>905</v>
      </c>
      <c r="Y93" s="19" t="s">
        <v>1345</v>
      </c>
    </row>
    <row r="94" spans="1:25" s="8" customFormat="1" ht="27" customHeight="1" x14ac:dyDescent="0.45">
      <c r="A94" s="4" t="s">
        <v>303</v>
      </c>
      <c r="B94" s="5" t="s">
        <v>290</v>
      </c>
      <c r="C94" s="5" t="s">
        <v>1056</v>
      </c>
      <c r="D94" s="5" t="s">
        <v>310</v>
      </c>
      <c r="E94" s="5" t="s">
        <v>1069</v>
      </c>
      <c r="F94" s="6" t="s">
        <v>841</v>
      </c>
      <c r="G94" s="6" t="s">
        <v>842</v>
      </c>
      <c r="H94" s="6" t="s">
        <v>23</v>
      </c>
      <c r="I94" s="5" t="s">
        <v>843</v>
      </c>
      <c r="J94" s="5" t="s">
        <v>845</v>
      </c>
      <c r="K94" s="5" t="s">
        <v>1065</v>
      </c>
      <c r="L94" s="5" t="s">
        <v>852</v>
      </c>
      <c r="M94" s="5" t="s">
        <v>258</v>
      </c>
      <c r="N94" s="5" t="s">
        <v>1018</v>
      </c>
      <c r="O94" s="7"/>
      <c r="P94" s="5"/>
      <c r="Q94" s="5"/>
      <c r="R94" s="5" t="s">
        <v>853</v>
      </c>
      <c r="S94" s="6"/>
      <c r="T94" s="19" t="s">
        <v>1058</v>
      </c>
      <c r="U94" s="19" t="s">
        <v>1070</v>
      </c>
      <c r="V94" s="19" t="s">
        <v>312</v>
      </c>
      <c r="W94" s="19" t="s">
        <v>313</v>
      </c>
      <c r="X94" s="19" t="s">
        <v>1324</v>
      </c>
      <c r="Y94" s="19" t="s">
        <v>1345</v>
      </c>
    </row>
    <row r="95" spans="1:25" s="8" customFormat="1" ht="27" customHeight="1" x14ac:dyDescent="0.45">
      <c r="A95" s="4" t="s">
        <v>304</v>
      </c>
      <c r="B95" s="5" t="s">
        <v>290</v>
      </c>
      <c r="C95" s="5" t="s">
        <v>1056</v>
      </c>
      <c r="D95" s="5" t="s">
        <v>555</v>
      </c>
      <c r="E95" s="5" t="s">
        <v>1071</v>
      </c>
      <c r="F95" s="6" t="s">
        <v>841</v>
      </c>
      <c r="G95" s="6" t="s">
        <v>842</v>
      </c>
      <c r="H95" s="6" t="s">
        <v>58</v>
      </c>
      <c r="I95" s="5" t="s">
        <v>859</v>
      </c>
      <c r="J95" s="5" t="s">
        <v>845</v>
      </c>
      <c r="K95" s="5" t="s">
        <v>1072</v>
      </c>
      <c r="L95" s="5" t="s">
        <v>852</v>
      </c>
      <c r="M95" s="5" t="s">
        <v>258</v>
      </c>
      <c r="N95" s="5" t="s">
        <v>1018</v>
      </c>
      <c r="O95" s="7"/>
      <c r="P95" s="5"/>
      <c r="Q95" s="5"/>
      <c r="R95" s="5" t="s">
        <v>848</v>
      </c>
      <c r="S95" s="6"/>
      <c r="T95" s="19" t="s">
        <v>1058</v>
      </c>
      <c r="U95" s="19" t="s">
        <v>1070</v>
      </c>
      <c r="V95" s="19" t="s">
        <v>312</v>
      </c>
      <c r="W95" s="19" t="s">
        <v>556</v>
      </c>
      <c r="X95" s="19" t="s">
        <v>1324</v>
      </c>
      <c r="Y95" s="19" t="s">
        <v>1345</v>
      </c>
    </row>
    <row r="96" spans="1:25" s="8" customFormat="1" ht="27" customHeight="1" x14ac:dyDescent="0.45">
      <c r="A96" s="4" t="s">
        <v>305</v>
      </c>
      <c r="B96" s="5" t="s">
        <v>290</v>
      </c>
      <c r="C96" s="5" t="s">
        <v>1056</v>
      </c>
      <c r="D96" s="5" t="s">
        <v>557</v>
      </c>
      <c r="E96" s="5" t="s">
        <v>1073</v>
      </c>
      <c r="F96" s="6" t="s">
        <v>841</v>
      </c>
      <c r="G96" s="6" t="s">
        <v>842</v>
      </c>
      <c r="H96" s="6" t="s">
        <v>58</v>
      </c>
      <c r="I96" s="5" t="s">
        <v>843</v>
      </c>
      <c r="J96" s="5" t="s">
        <v>845</v>
      </c>
      <c r="K96" s="5" t="s">
        <v>913</v>
      </c>
      <c r="L96" s="5" t="s">
        <v>852</v>
      </c>
      <c r="M96" s="5" t="s">
        <v>258</v>
      </c>
      <c r="N96" s="5" t="s">
        <v>1018</v>
      </c>
      <c r="O96" s="7"/>
      <c r="P96" s="5"/>
      <c r="Q96" s="5"/>
      <c r="R96" s="5" t="s">
        <v>853</v>
      </c>
      <c r="S96" s="6"/>
      <c r="T96" s="19" t="s">
        <v>1058</v>
      </c>
      <c r="U96" s="19" t="s">
        <v>1070</v>
      </c>
      <c r="V96" s="19" t="s">
        <v>312</v>
      </c>
      <c r="W96" s="19" t="s">
        <v>558</v>
      </c>
      <c r="X96" s="19" t="s">
        <v>1324</v>
      </c>
      <c r="Y96" s="19" t="s">
        <v>1345</v>
      </c>
    </row>
    <row r="97" spans="1:25" s="8" customFormat="1" ht="27" customHeight="1" x14ac:dyDescent="0.45">
      <c r="A97" s="4" t="s">
        <v>552</v>
      </c>
      <c r="B97" s="5" t="s">
        <v>290</v>
      </c>
      <c r="C97" s="5" t="s">
        <v>1056</v>
      </c>
      <c r="D97" s="5" t="s">
        <v>314</v>
      </c>
      <c r="E97" s="5" t="s">
        <v>1074</v>
      </c>
      <c r="F97" s="6" t="s">
        <v>841</v>
      </c>
      <c r="G97" s="6" t="s">
        <v>842</v>
      </c>
      <c r="H97" s="6" t="s">
        <v>23</v>
      </c>
      <c r="I97" s="5" t="s">
        <v>859</v>
      </c>
      <c r="J97" s="5" t="s">
        <v>845</v>
      </c>
      <c r="K97" s="5" t="s">
        <v>1075</v>
      </c>
      <c r="L97" s="5" t="s">
        <v>852</v>
      </c>
      <c r="M97" s="5" t="s">
        <v>215</v>
      </c>
      <c r="N97" s="5" t="s">
        <v>919</v>
      </c>
      <c r="O97" s="7"/>
      <c r="P97" s="5"/>
      <c r="Q97" s="5"/>
      <c r="R97" s="5" t="s">
        <v>897</v>
      </c>
      <c r="S97" s="6"/>
      <c r="T97" s="19" t="s">
        <v>1058</v>
      </c>
      <c r="U97" s="19" t="s">
        <v>1059</v>
      </c>
      <c r="V97" s="19" t="s">
        <v>292</v>
      </c>
      <c r="W97" s="19" t="s">
        <v>315</v>
      </c>
      <c r="X97" s="19" t="s">
        <v>1323</v>
      </c>
      <c r="Y97" s="19" t="s">
        <v>1345</v>
      </c>
    </row>
    <row r="98" spans="1:25" s="8" customFormat="1" ht="27" customHeight="1" x14ac:dyDescent="0.45">
      <c r="A98" s="4" t="s">
        <v>308</v>
      </c>
      <c r="B98" s="5" t="s">
        <v>290</v>
      </c>
      <c r="C98" s="5" t="s">
        <v>1056</v>
      </c>
      <c r="D98" s="5" t="s">
        <v>316</v>
      </c>
      <c r="E98" s="5" t="s">
        <v>1076</v>
      </c>
      <c r="F98" s="6" t="s">
        <v>841</v>
      </c>
      <c r="G98" s="6" t="s">
        <v>842</v>
      </c>
      <c r="H98" s="6" t="s">
        <v>23</v>
      </c>
      <c r="I98" s="5" t="s">
        <v>859</v>
      </c>
      <c r="J98" s="5" t="s">
        <v>845</v>
      </c>
      <c r="K98" s="5" t="s">
        <v>1077</v>
      </c>
      <c r="L98" s="5" t="s">
        <v>852</v>
      </c>
      <c r="M98" s="5" t="s">
        <v>215</v>
      </c>
      <c r="N98" s="5" t="s">
        <v>919</v>
      </c>
      <c r="O98" s="7"/>
      <c r="P98" s="5"/>
      <c r="Q98" s="5"/>
      <c r="R98" s="5" t="s">
        <v>853</v>
      </c>
      <c r="S98" s="6"/>
      <c r="T98" s="19" t="s">
        <v>1058</v>
      </c>
      <c r="U98" s="19" t="s">
        <v>1059</v>
      </c>
      <c r="V98" s="19" t="s">
        <v>292</v>
      </c>
      <c r="W98" s="19" t="s">
        <v>317</v>
      </c>
      <c r="X98" s="19" t="s">
        <v>1323</v>
      </c>
      <c r="Y98" s="19" t="s">
        <v>1345</v>
      </c>
    </row>
    <row r="99" spans="1:25" s="8" customFormat="1" ht="27" customHeight="1" x14ac:dyDescent="0.45">
      <c r="A99" s="4" t="s">
        <v>309</v>
      </c>
      <c r="B99" s="5" t="s">
        <v>290</v>
      </c>
      <c r="C99" s="5" t="s">
        <v>1056</v>
      </c>
      <c r="D99" s="5" t="s">
        <v>559</v>
      </c>
      <c r="E99" s="5" t="s">
        <v>1078</v>
      </c>
      <c r="F99" s="6" t="s">
        <v>841</v>
      </c>
      <c r="G99" s="6" t="s">
        <v>842</v>
      </c>
      <c r="H99" s="6" t="s">
        <v>58</v>
      </c>
      <c r="I99" s="5" t="s">
        <v>859</v>
      </c>
      <c r="J99" s="5" t="s">
        <v>905</v>
      </c>
      <c r="K99" s="5" t="s">
        <v>913</v>
      </c>
      <c r="L99" s="5" t="s">
        <v>1047</v>
      </c>
      <c r="M99" s="5" t="s">
        <v>560</v>
      </c>
      <c r="N99" s="5" t="s">
        <v>1079</v>
      </c>
      <c r="O99" s="7"/>
      <c r="P99" s="5"/>
      <c r="Q99" s="5"/>
      <c r="R99" s="5" t="s">
        <v>848</v>
      </c>
      <c r="S99" s="6"/>
      <c r="T99" s="19" t="s">
        <v>1058</v>
      </c>
      <c r="U99" s="19" t="s">
        <v>1080</v>
      </c>
      <c r="V99" s="19" t="s">
        <v>319</v>
      </c>
      <c r="W99" s="19" t="s">
        <v>561</v>
      </c>
      <c r="X99" s="19" t="s">
        <v>905</v>
      </c>
      <c r="Y99" s="19" t="s">
        <v>1345</v>
      </c>
    </row>
    <row r="100" spans="1:25" s="8" customFormat="1" ht="27" customHeight="1" x14ac:dyDescent="0.45">
      <c r="A100" s="4" t="s">
        <v>121</v>
      </c>
      <c r="B100" s="5" t="s">
        <v>123</v>
      </c>
      <c r="C100" s="5" t="s">
        <v>1082</v>
      </c>
      <c r="D100" s="5" t="s">
        <v>122</v>
      </c>
      <c r="E100" s="5" t="s">
        <v>1083</v>
      </c>
      <c r="F100" s="6" t="s">
        <v>841</v>
      </c>
      <c r="G100" s="6" t="s">
        <v>842</v>
      </c>
      <c r="H100" s="6" t="s">
        <v>23</v>
      </c>
      <c r="I100" s="5" t="s">
        <v>859</v>
      </c>
      <c r="J100" s="5" t="s">
        <v>905</v>
      </c>
      <c r="K100" s="5" t="s">
        <v>845</v>
      </c>
      <c r="L100" s="5" t="s">
        <v>852</v>
      </c>
      <c r="M100" s="5" t="s">
        <v>76</v>
      </c>
      <c r="N100" s="5" t="s">
        <v>1084</v>
      </c>
      <c r="O100" s="7"/>
      <c r="P100" s="5"/>
      <c r="Q100" s="5"/>
      <c r="R100" s="5" t="s">
        <v>848</v>
      </c>
      <c r="S100" s="6"/>
      <c r="T100" s="19" t="s">
        <v>1085</v>
      </c>
      <c r="U100" s="19" t="s">
        <v>1086</v>
      </c>
      <c r="V100" s="19" t="s">
        <v>125</v>
      </c>
      <c r="W100" s="19" t="s">
        <v>126</v>
      </c>
      <c r="X100" s="19" t="s">
        <v>905</v>
      </c>
      <c r="Y100" s="19" t="s">
        <v>1344</v>
      </c>
    </row>
    <row r="101" spans="1:25" s="8" customFormat="1" ht="27" customHeight="1" x14ac:dyDescent="0.45">
      <c r="A101" s="4" t="s">
        <v>320</v>
      </c>
      <c r="B101" s="5" t="s">
        <v>123</v>
      </c>
      <c r="C101" s="5" t="s">
        <v>1082</v>
      </c>
      <c r="D101" s="5" t="s">
        <v>326</v>
      </c>
      <c r="E101" s="5" t="s">
        <v>1088</v>
      </c>
      <c r="F101" s="6" t="s">
        <v>841</v>
      </c>
      <c r="G101" s="6" t="s">
        <v>842</v>
      </c>
      <c r="H101" s="6" t="s">
        <v>23</v>
      </c>
      <c r="I101" s="5" t="s">
        <v>867</v>
      </c>
      <c r="J101" s="5" t="s">
        <v>905</v>
      </c>
      <c r="K101" s="5" t="s">
        <v>1089</v>
      </c>
      <c r="L101" s="5" t="s">
        <v>879</v>
      </c>
      <c r="M101" s="5" t="s">
        <v>167</v>
      </c>
      <c r="N101" s="5" t="s">
        <v>918</v>
      </c>
      <c r="O101" s="7"/>
      <c r="P101" s="5"/>
      <c r="Q101" s="5"/>
      <c r="R101" s="5" t="s">
        <v>870</v>
      </c>
      <c r="S101" s="6"/>
      <c r="T101" s="19" t="s">
        <v>1085</v>
      </c>
      <c r="U101" s="19" t="s">
        <v>1090</v>
      </c>
      <c r="V101" s="19" t="s">
        <v>130</v>
      </c>
      <c r="W101" s="19" t="s">
        <v>327</v>
      </c>
      <c r="X101" s="19" t="s">
        <v>1323</v>
      </c>
      <c r="Y101" s="19" t="s">
        <v>1345</v>
      </c>
    </row>
    <row r="102" spans="1:25" s="8" customFormat="1" ht="27" customHeight="1" x14ac:dyDescent="0.45">
      <c r="A102" s="4" t="s">
        <v>321</v>
      </c>
      <c r="B102" s="5" t="s">
        <v>123</v>
      </c>
      <c r="C102" s="5" t="s">
        <v>1082</v>
      </c>
      <c r="D102" s="5" t="s">
        <v>128</v>
      </c>
      <c r="E102" s="5" t="s">
        <v>1091</v>
      </c>
      <c r="F102" s="6" t="s">
        <v>841</v>
      </c>
      <c r="G102" s="6" t="s">
        <v>842</v>
      </c>
      <c r="H102" s="6" t="s">
        <v>23</v>
      </c>
      <c r="I102" s="5" t="s">
        <v>867</v>
      </c>
      <c r="J102" s="5" t="s">
        <v>1024</v>
      </c>
      <c r="K102" s="5" t="s">
        <v>845</v>
      </c>
      <c r="L102" s="5" t="s">
        <v>879</v>
      </c>
      <c r="M102" s="5" t="s">
        <v>70</v>
      </c>
      <c r="N102" s="5" t="s">
        <v>1092</v>
      </c>
      <c r="O102" s="7"/>
      <c r="P102" s="5"/>
      <c r="Q102" s="5"/>
      <c r="R102" s="5" t="s">
        <v>853</v>
      </c>
      <c r="S102" s="6"/>
      <c r="T102" s="19" t="s">
        <v>1085</v>
      </c>
      <c r="U102" s="19" t="s">
        <v>1090</v>
      </c>
      <c r="V102" s="19" t="s">
        <v>130</v>
      </c>
      <c r="W102" s="19" t="s">
        <v>131</v>
      </c>
      <c r="X102" s="19" t="s">
        <v>1323</v>
      </c>
      <c r="Y102" s="19" t="s">
        <v>1344</v>
      </c>
    </row>
    <row r="103" spans="1:25" s="8" customFormat="1" ht="27" customHeight="1" x14ac:dyDescent="0.45">
      <c r="A103" s="4" t="s">
        <v>322</v>
      </c>
      <c r="B103" s="5" t="s">
        <v>123</v>
      </c>
      <c r="C103" s="5" t="s">
        <v>1082</v>
      </c>
      <c r="D103" s="5" t="s">
        <v>562</v>
      </c>
      <c r="E103" s="5" t="s">
        <v>1093</v>
      </c>
      <c r="F103" s="6" t="s">
        <v>841</v>
      </c>
      <c r="G103" s="6" t="s">
        <v>842</v>
      </c>
      <c r="H103" s="6" t="s">
        <v>58</v>
      </c>
      <c r="I103" s="5" t="s">
        <v>867</v>
      </c>
      <c r="J103" s="5" t="s">
        <v>905</v>
      </c>
      <c r="K103" s="5" t="s">
        <v>1024</v>
      </c>
      <c r="L103" s="5" t="s">
        <v>879</v>
      </c>
      <c r="M103" s="5" t="s">
        <v>323</v>
      </c>
      <c r="N103" s="5" t="s">
        <v>918</v>
      </c>
      <c r="O103" s="7"/>
      <c r="P103" s="5"/>
      <c r="Q103" s="5"/>
      <c r="R103" s="5" t="s">
        <v>897</v>
      </c>
      <c r="S103" s="6"/>
      <c r="T103" s="19" t="s">
        <v>1085</v>
      </c>
      <c r="U103" s="19" t="s">
        <v>1090</v>
      </c>
      <c r="V103" s="19" t="s">
        <v>130</v>
      </c>
      <c r="W103" s="19" t="s">
        <v>563</v>
      </c>
      <c r="X103" s="19" t="s">
        <v>1323</v>
      </c>
      <c r="Y103" s="19" t="s">
        <v>1345</v>
      </c>
    </row>
    <row r="104" spans="1:25" s="8" customFormat="1" ht="27" customHeight="1" x14ac:dyDescent="0.45">
      <c r="A104" s="4" t="s">
        <v>324</v>
      </c>
      <c r="B104" s="5" t="s">
        <v>123</v>
      </c>
      <c r="C104" s="5" t="s">
        <v>1082</v>
      </c>
      <c r="D104" s="5" t="s">
        <v>564</v>
      </c>
      <c r="E104" s="5" t="s">
        <v>1095</v>
      </c>
      <c r="F104" s="6" t="s">
        <v>841</v>
      </c>
      <c r="G104" s="6" t="s">
        <v>842</v>
      </c>
      <c r="H104" s="6" t="s">
        <v>58</v>
      </c>
      <c r="I104" s="5" t="s">
        <v>843</v>
      </c>
      <c r="J104" s="5" t="s">
        <v>1024</v>
      </c>
      <c r="K104" s="5" t="s">
        <v>891</v>
      </c>
      <c r="L104" s="5" t="s">
        <v>846</v>
      </c>
      <c r="M104" s="5" t="s">
        <v>215</v>
      </c>
      <c r="N104" s="5" t="s">
        <v>918</v>
      </c>
      <c r="O104" s="7"/>
      <c r="P104" s="5"/>
      <c r="Q104" s="5"/>
      <c r="R104" s="5" t="s">
        <v>853</v>
      </c>
      <c r="S104" s="6"/>
      <c r="T104" s="19" t="s">
        <v>1085</v>
      </c>
      <c r="U104" s="19" t="s">
        <v>1094</v>
      </c>
      <c r="V104" s="19" t="s">
        <v>133</v>
      </c>
      <c r="W104" s="19" t="s">
        <v>565</v>
      </c>
      <c r="X104" s="19" t="s">
        <v>1323</v>
      </c>
      <c r="Y104" s="19" t="s">
        <v>1345</v>
      </c>
    </row>
    <row r="105" spans="1:25" s="8" customFormat="1" ht="27" customHeight="1" x14ac:dyDescent="0.45">
      <c r="A105" s="4" t="s">
        <v>325</v>
      </c>
      <c r="B105" s="5" t="s">
        <v>123</v>
      </c>
      <c r="C105" s="5" t="s">
        <v>1082</v>
      </c>
      <c r="D105" s="5" t="s">
        <v>566</v>
      </c>
      <c r="E105" s="5" t="s">
        <v>1096</v>
      </c>
      <c r="F105" s="6" t="s">
        <v>841</v>
      </c>
      <c r="G105" s="6" t="s">
        <v>842</v>
      </c>
      <c r="H105" s="6" t="s">
        <v>58</v>
      </c>
      <c r="I105" s="5" t="s">
        <v>859</v>
      </c>
      <c r="J105" s="5" t="s">
        <v>1024</v>
      </c>
      <c r="K105" s="5" t="s">
        <v>905</v>
      </c>
      <c r="L105" s="5" t="s">
        <v>852</v>
      </c>
      <c r="M105" s="5" t="s">
        <v>215</v>
      </c>
      <c r="N105" s="5" t="s">
        <v>918</v>
      </c>
      <c r="O105" s="7"/>
      <c r="P105" s="5"/>
      <c r="Q105" s="5"/>
      <c r="R105" s="5" t="s">
        <v>853</v>
      </c>
      <c r="S105" s="6"/>
      <c r="T105" s="19" t="s">
        <v>1061</v>
      </c>
      <c r="U105" s="19" t="s">
        <v>1097</v>
      </c>
      <c r="V105" s="19" t="s">
        <v>344</v>
      </c>
      <c r="W105" s="19" t="s">
        <v>567</v>
      </c>
      <c r="X105" s="19" t="s">
        <v>1324</v>
      </c>
      <c r="Y105" s="19" t="s">
        <v>1345</v>
      </c>
    </row>
    <row r="106" spans="1:25" s="8" customFormat="1" ht="27" customHeight="1" x14ac:dyDescent="0.45">
      <c r="A106" s="4" t="s">
        <v>127</v>
      </c>
      <c r="B106" s="5" t="s">
        <v>123</v>
      </c>
      <c r="C106" s="5" t="s">
        <v>1082</v>
      </c>
      <c r="D106" s="5" t="s">
        <v>568</v>
      </c>
      <c r="E106" s="5" t="s">
        <v>1098</v>
      </c>
      <c r="F106" s="6" t="s">
        <v>841</v>
      </c>
      <c r="G106" s="6" t="s">
        <v>842</v>
      </c>
      <c r="H106" s="6" t="s">
        <v>58</v>
      </c>
      <c r="I106" s="5" t="s">
        <v>859</v>
      </c>
      <c r="J106" s="5" t="s">
        <v>905</v>
      </c>
      <c r="K106" s="5" t="s">
        <v>1081</v>
      </c>
      <c r="L106" s="5" t="s">
        <v>852</v>
      </c>
      <c r="M106" s="5" t="s">
        <v>215</v>
      </c>
      <c r="N106" s="5" t="s">
        <v>1099</v>
      </c>
      <c r="O106" s="7"/>
      <c r="P106" s="5"/>
      <c r="Q106" s="5"/>
      <c r="R106" s="5" t="s">
        <v>853</v>
      </c>
      <c r="S106" s="6"/>
      <c r="T106" s="19" t="s">
        <v>1061</v>
      </c>
      <c r="U106" s="19" t="s">
        <v>1097</v>
      </c>
      <c r="V106" s="19" t="s">
        <v>344</v>
      </c>
      <c r="W106" s="19" t="s">
        <v>569</v>
      </c>
      <c r="X106" s="19" t="s">
        <v>1324</v>
      </c>
      <c r="Y106" s="19" t="s">
        <v>1345</v>
      </c>
    </row>
    <row r="107" spans="1:25" s="8" customFormat="1" ht="27" customHeight="1" x14ac:dyDescent="0.45">
      <c r="A107" s="4" t="s">
        <v>328</v>
      </c>
      <c r="B107" s="5" t="s">
        <v>330</v>
      </c>
      <c r="C107" s="5" t="s">
        <v>1100</v>
      </c>
      <c r="D107" s="5" t="s">
        <v>329</v>
      </c>
      <c r="E107" s="5" t="s">
        <v>1101</v>
      </c>
      <c r="F107" s="6" t="s">
        <v>841</v>
      </c>
      <c r="G107" s="6" t="s">
        <v>842</v>
      </c>
      <c r="H107" s="6" t="s">
        <v>23</v>
      </c>
      <c r="I107" s="5" t="s">
        <v>867</v>
      </c>
      <c r="J107" s="5" t="s">
        <v>845</v>
      </c>
      <c r="K107" s="5" t="s">
        <v>1031</v>
      </c>
      <c r="L107" s="5" t="s">
        <v>879</v>
      </c>
      <c r="M107" s="5" t="s">
        <v>167</v>
      </c>
      <c r="N107" s="5" t="s">
        <v>918</v>
      </c>
      <c r="O107" s="7"/>
      <c r="P107" s="5"/>
      <c r="Q107" s="5"/>
      <c r="R107" s="5" t="s">
        <v>870</v>
      </c>
      <c r="S107" s="6"/>
      <c r="T107" s="19" t="s">
        <v>1102</v>
      </c>
      <c r="U107" s="19" t="s">
        <v>1103</v>
      </c>
      <c r="V107" s="19" t="s">
        <v>332</v>
      </c>
      <c r="W107" s="19" t="s">
        <v>333</v>
      </c>
      <c r="X107" s="19" t="s">
        <v>1323</v>
      </c>
      <c r="Y107" s="19" t="s">
        <v>1345</v>
      </c>
    </row>
    <row r="108" spans="1:25" s="8" customFormat="1" ht="27" customHeight="1" x14ac:dyDescent="0.45">
      <c r="A108" s="4" t="s">
        <v>334</v>
      </c>
      <c r="B108" s="5" t="s">
        <v>330</v>
      </c>
      <c r="C108" s="5" t="s">
        <v>1100</v>
      </c>
      <c r="D108" s="5" t="s">
        <v>335</v>
      </c>
      <c r="E108" s="5" t="s">
        <v>1104</v>
      </c>
      <c r="F108" s="6" t="s">
        <v>841</v>
      </c>
      <c r="G108" s="6" t="s">
        <v>842</v>
      </c>
      <c r="H108" s="6" t="s">
        <v>23</v>
      </c>
      <c r="I108" s="5" t="s">
        <v>843</v>
      </c>
      <c r="J108" s="5" t="s">
        <v>845</v>
      </c>
      <c r="K108" s="5" t="s">
        <v>1105</v>
      </c>
      <c r="L108" s="5" t="s">
        <v>852</v>
      </c>
      <c r="M108" s="5" t="s">
        <v>167</v>
      </c>
      <c r="N108" s="5" t="s">
        <v>918</v>
      </c>
      <c r="O108" s="7"/>
      <c r="P108" s="5"/>
      <c r="Q108" s="5"/>
      <c r="R108" s="5" t="s">
        <v>897</v>
      </c>
      <c r="S108" s="6"/>
      <c r="T108" s="19" t="s">
        <v>1102</v>
      </c>
      <c r="U108" s="19" t="s">
        <v>1103</v>
      </c>
      <c r="V108" s="19" t="s">
        <v>332</v>
      </c>
      <c r="W108" s="19" t="s">
        <v>336</v>
      </c>
      <c r="X108" s="19" t="s">
        <v>1323</v>
      </c>
      <c r="Y108" s="19" t="s">
        <v>1345</v>
      </c>
    </row>
    <row r="109" spans="1:25" s="8" customFormat="1" ht="27" customHeight="1" x14ac:dyDescent="0.45">
      <c r="A109" s="4" t="s">
        <v>570</v>
      </c>
      <c r="B109" s="5" t="s">
        <v>330</v>
      </c>
      <c r="C109" s="5" t="s">
        <v>1100</v>
      </c>
      <c r="D109" s="5" t="s">
        <v>571</v>
      </c>
      <c r="E109" s="5" t="s">
        <v>1106</v>
      </c>
      <c r="F109" s="6" t="s">
        <v>841</v>
      </c>
      <c r="G109" s="6" t="s">
        <v>842</v>
      </c>
      <c r="H109" s="6" t="s">
        <v>58</v>
      </c>
      <c r="I109" s="5" t="s">
        <v>859</v>
      </c>
      <c r="J109" s="5" t="s">
        <v>845</v>
      </c>
      <c r="K109" s="5" t="s">
        <v>1081</v>
      </c>
      <c r="L109" s="5" t="s">
        <v>852</v>
      </c>
      <c r="M109" s="5" t="s">
        <v>167</v>
      </c>
      <c r="N109" s="5" t="s">
        <v>1013</v>
      </c>
      <c r="O109" s="7"/>
      <c r="P109" s="5"/>
      <c r="Q109" s="5"/>
      <c r="R109" s="5" t="s">
        <v>897</v>
      </c>
      <c r="S109" s="6"/>
      <c r="T109" s="19" t="s">
        <v>1102</v>
      </c>
      <c r="U109" s="19" t="s">
        <v>1103</v>
      </c>
      <c r="V109" s="19" t="s">
        <v>332</v>
      </c>
      <c r="W109" s="19" t="s">
        <v>572</v>
      </c>
      <c r="X109" s="19" t="s">
        <v>1323</v>
      </c>
      <c r="Y109" s="19" t="s">
        <v>1345</v>
      </c>
    </row>
    <row r="110" spans="1:25" s="8" customFormat="1" ht="27" customHeight="1" x14ac:dyDescent="0.45">
      <c r="A110" s="4" t="s">
        <v>573</v>
      </c>
      <c r="B110" s="5" t="s">
        <v>330</v>
      </c>
      <c r="C110" s="5" t="s">
        <v>1100</v>
      </c>
      <c r="D110" s="5" t="s">
        <v>574</v>
      </c>
      <c r="E110" s="5" t="s">
        <v>1107</v>
      </c>
      <c r="F110" s="6" t="s">
        <v>841</v>
      </c>
      <c r="G110" s="6" t="s">
        <v>842</v>
      </c>
      <c r="H110" s="6" t="s">
        <v>58</v>
      </c>
      <c r="I110" s="5" t="s">
        <v>867</v>
      </c>
      <c r="J110" s="5" t="s">
        <v>845</v>
      </c>
      <c r="K110" s="5" t="s">
        <v>944</v>
      </c>
      <c r="L110" s="5" t="s">
        <v>879</v>
      </c>
      <c r="M110" s="5" t="s">
        <v>167</v>
      </c>
      <c r="N110" s="5" t="s">
        <v>918</v>
      </c>
      <c r="O110" s="7"/>
      <c r="P110" s="5"/>
      <c r="Q110" s="5"/>
      <c r="R110" s="5" t="s">
        <v>897</v>
      </c>
      <c r="S110" s="6"/>
      <c r="T110" s="19" t="s">
        <v>1102</v>
      </c>
      <c r="U110" s="19" t="s">
        <v>1103</v>
      </c>
      <c r="V110" s="19" t="s">
        <v>332</v>
      </c>
      <c r="W110" s="19" t="s">
        <v>575</v>
      </c>
      <c r="X110" s="19" t="s">
        <v>1323</v>
      </c>
      <c r="Y110" s="19" t="s">
        <v>1345</v>
      </c>
    </row>
    <row r="111" spans="1:25" s="8" customFormat="1" ht="27" customHeight="1" x14ac:dyDescent="0.45">
      <c r="A111" s="4" t="s">
        <v>576</v>
      </c>
      <c r="B111" s="5" t="s">
        <v>330</v>
      </c>
      <c r="C111" s="5" t="s">
        <v>1100</v>
      </c>
      <c r="D111" s="5" t="s">
        <v>577</v>
      </c>
      <c r="E111" s="5" t="s">
        <v>1108</v>
      </c>
      <c r="F111" s="6" t="s">
        <v>841</v>
      </c>
      <c r="G111" s="6" t="s">
        <v>842</v>
      </c>
      <c r="H111" s="6" t="s">
        <v>58</v>
      </c>
      <c r="I111" s="5" t="s">
        <v>859</v>
      </c>
      <c r="J111" s="5" t="s">
        <v>845</v>
      </c>
      <c r="K111" s="5" t="s">
        <v>1109</v>
      </c>
      <c r="L111" s="5" t="s">
        <v>852</v>
      </c>
      <c r="M111" s="5" t="s">
        <v>167</v>
      </c>
      <c r="N111" s="5" t="s">
        <v>1350</v>
      </c>
      <c r="O111" s="7"/>
      <c r="P111" s="5"/>
      <c r="Q111" s="5"/>
      <c r="R111" s="5" t="s">
        <v>853</v>
      </c>
      <c r="S111" s="6"/>
      <c r="T111" s="19" t="s">
        <v>1061</v>
      </c>
      <c r="U111" s="19" t="s">
        <v>1110</v>
      </c>
      <c r="V111" s="19" t="s">
        <v>579</v>
      </c>
      <c r="W111" s="19" t="s">
        <v>580</v>
      </c>
      <c r="X111" s="19" t="s">
        <v>1324</v>
      </c>
      <c r="Y111" s="19" t="s">
        <v>1345</v>
      </c>
    </row>
    <row r="112" spans="1:25" s="8" customFormat="1" ht="27" customHeight="1" x14ac:dyDescent="0.45">
      <c r="A112" s="4" t="s">
        <v>337</v>
      </c>
      <c r="B112" s="5" t="s">
        <v>330</v>
      </c>
      <c r="C112" s="5" t="s">
        <v>1100</v>
      </c>
      <c r="D112" s="5" t="s">
        <v>582</v>
      </c>
      <c r="E112" s="5" t="s">
        <v>1111</v>
      </c>
      <c r="F112" s="6" t="s">
        <v>841</v>
      </c>
      <c r="G112" s="6" t="s">
        <v>842</v>
      </c>
      <c r="H112" s="6" t="s">
        <v>58</v>
      </c>
      <c r="I112" s="5" t="s">
        <v>859</v>
      </c>
      <c r="J112" s="5" t="s">
        <v>845</v>
      </c>
      <c r="K112" s="5" t="s">
        <v>1081</v>
      </c>
      <c r="L112" s="5" t="s">
        <v>852</v>
      </c>
      <c r="M112" s="5" t="s">
        <v>167</v>
      </c>
      <c r="N112" s="5" t="s">
        <v>1013</v>
      </c>
      <c r="O112" s="7"/>
      <c r="P112" s="5"/>
      <c r="Q112" s="5"/>
      <c r="R112" s="5" t="s">
        <v>848</v>
      </c>
      <c r="S112" s="6"/>
      <c r="T112" s="19" t="s">
        <v>1061</v>
      </c>
      <c r="U112" s="19" t="s">
        <v>1351</v>
      </c>
      <c r="V112" s="19" t="s">
        <v>338</v>
      </c>
      <c r="W112" s="19" t="s">
        <v>583</v>
      </c>
      <c r="X112" s="19" t="s">
        <v>1326</v>
      </c>
      <c r="Y112" s="19" t="s">
        <v>1345</v>
      </c>
    </row>
    <row r="113" spans="1:25" s="8" customFormat="1" ht="27" customHeight="1" x14ac:dyDescent="0.45">
      <c r="A113" s="4" t="s">
        <v>339</v>
      </c>
      <c r="B113" s="5" t="s">
        <v>330</v>
      </c>
      <c r="C113" s="5" t="s">
        <v>1100</v>
      </c>
      <c r="D113" s="5" t="s">
        <v>585</v>
      </c>
      <c r="E113" s="5" t="s">
        <v>1112</v>
      </c>
      <c r="F113" s="6" t="s">
        <v>841</v>
      </c>
      <c r="G113" s="6" t="s">
        <v>842</v>
      </c>
      <c r="H113" s="6" t="s">
        <v>58</v>
      </c>
      <c r="I113" s="5" t="s">
        <v>859</v>
      </c>
      <c r="J113" s="5" t="s">
        <v>877</v>
      </c>
      <c r="K113" s="5" t="s">
        <v>1113</v>
      </c>
      <c r="L113" s="5" t="s">
        <v>852</v>
      </c>
      <c r="M113" s="5" t="s">
        <v>167</v>
      </c>
      <c r="N113" s="5" t="s">
        <v>1114</v>
      </c>
      <c r="O113" s="7"/>
      <c r="P113" s="5"/>
      <c r="Q113" s="5"/>
      <c r="R113" s="5" t="s">
        <v>853</v>
      </c>
      <c r="S113" s="6"/>
      <c r="T113" s="19" t="s">
        <v>1061</v>
      </c>
      <c r="U113" s="19" t="s">
        <v>1351</v>
      </c>
      <c r="V113" s="19" t="s">
        <v>338</v>
      </c>
      <c r="W113" s="19" t="s">
        <v>586</v>
      </c>
      <c r="X113" s="19" t="s">
        <v>1326</v>
      </c>
      <c r="Y113" s="19" t="s">
        <v>1345</v>
      </c>
    </row>
    <row r="114" spans="1:25" s="8" customFormat="1" ht="27" customHeight="1" x14ac:dyDescent="0.45">
      <c r="A114" s="4" t="s">
        <v>581</v>
      </c>
      <c r="B114" s="5" t="s">
        <v>330</v>
      </c>
      <c r="C114" s="5" t="s">
        <v>1100</v>
      </c>
      <c r="D114" s="5" t="s">
        <v>587</v>
      </c>
      <c r="E114" s="5" t="s">
        <v>1115</v>
      </c>
      <c r="F114" s="6" t="s">
        <v>841</v>
      </c>
      <c r="G114" s="6" t="s">
        <v>842</v>
      </c>
      <c r="H114" s="6" t="s">
        <v>58</v>
      </c>
      <c r="I114" s="5" t="s">
        <v>859</v>
      </c>
      <c r="J114" s="5" t="s">
        <v>877</v>
      </c>
      <c r="K114" s="5" t="s">
        <v>1113</v>
      </c>
      <c r="L114" s="5" t="s">
        <v>852</v>
      </c>
      <c r="M114" s="5" t="s">
        <v>167</v>
      </c>
      <c r="N114" s="5" t="s">
        <v>1116</v>
      </c>
      <c r="O114" s="7"/>
      <c r="P114" s="5"/>
      <c r="Q114" s="5"/>
      <c r="R114" s="5" t="s">
        <v>853</v>
      </c>
      <c r="S114" s="6"/>
      <c r="T114" s="19" t="s">
        <v>1061</v>
      </c>
      <c r="U114" s="19" t="s">
        <v>1351</v>
      </c>
      <c r="V114" s="19" t="s">
        <v>338</v>
      </c>
      <c r="W114" s="19" t="s">
        <v>588</v>
      </c>
      <c r="X114" s="19" t="s">
        <v>1326</v>
      </c>
      <c r="Y114" s="19" t="s">
        <v>1345</v>
      </c>
    </row>
    <row r="115" spans="1:25" s="8" customFormat="1" ht="27" customHeight="1" x14ac:dyDescent="0.45">
      <c r="A115" s="4" t="s">
        <v>584</v>
      </c>
      <c r="B115" s="5" t="s">
        <v>330</v>
      </c>
      <c r="C115" s="5" t="s">
        <v>1100</v>
      </c>
      <c r="D115" s="5" t="s">
        <v>676</v>
      </c>
      <c r="E115" s="5" t="s">
        <v>1118</v>
      </c>
      <c r="F115" s="6" t="s">
        <v>841</v>
      </c>
      <c r="G115" s="6" t="s">
        <v>842</v>
      </c>
      <c r="H115" s="6" t="s">
        <v>671</v>
      </c>
      <c r="I115" s="5" t="s">
        <v>859</v>
      </c>
      <c r="J115" s="5" t="s">
        <v>845</v>
      </c>
      <c r="K115" s="5" t="s">
        <v>881</v>
      </c>
      <c r="L115" s="5" t="s">
        <v>852</v>
      </c>
      <c r="M115" s="5" t="s">
        <v>167</v>
      </c>
      <c r="N115" s="5" t="s">
        <v>1119</v>
      </c>
      <c r="O115" s="7"/>
      <c r="P115" s="5"/>
      <c r="Q115" s="5"/>
      <c r="R115" s="5" t="s">
        <v>853</v>
      </c>
      <c r="S115" s="6"/>
      <c r="T115" s="19" t="s">
        <v>1102</v>
      </c>
      <c r="U115" s="19" t="s">
        <v>1120</v>
      </c>
      <c r="V115" s="19" t="s">
        <v>678</v>
      </c>
      <c r="W115" s="19" t="s">
        <v>679</v>
      </c>
      <c r="X115" s="19" t="s">
        <v>1323</v>
      </c>
      <c r="Y115" s="19" t="s">
        <v>1345</v>
      </c>
    </row>
    <row r="116" spans="1:25" s="8" customFormat="1" ht="27" customHeight="1" x14ac:dyDescent="0.45">
      <c r="A116" s="4" t="s">
        <v>340</v>
      </c>
      <c r="B116" s="5" t="s">
        <v>342</v>
      </c>
      <c r="C116" s="5" t="s">
        <v>1121</v>
      </c>
      <c r="D116" s="5" t="s">
        <v>341</v>
      </c>
      <c r="E116" s="5" t="s">
        <v>1122</v>
      </c>
      <c r="F116" s="6" t="s">
        <v>841</v>
      </c>
      <c r="G116" s="6" t="s">
        <v>842</v>
      </c>
      <c r="H116" s="6" t="s">
        <v>23</v>
      </c>
      <c r="I116" s="5" t="s">
        <v>843</v>
      </c>
      <c r="J116" s="5" t="s">
        <v>845</v>
      </c>
      <c r="K116" s="5" t="s">
        <v>930</v>
      </c>
      <c r="L116" s="5" t="s">
        <v>846</v>
      </c>
      <c r="M116" s="5" t="s">
        <v>215</v>
      </c>
      <c r="N116" s="5" t="s">
        <v>847</v>
      </c>
      <c r="O116" s="7"/>
      <c r="P116" s="5"/>
      <c r="Q116" s="5"/>
      <c r="R116" s="5" t="s">
        <v>848</v>
      </c>
      <c r="S116" s="6"/>
      <c r="T116" s="19" t="s">
        <v>1061</v>
      </c>
      <c r="U116" s="19" t="s">
        <v>1097</v>
      </c>
      <c r="V116" s="19" t="s">
        <v>344</v>
      </c>
      <c r="W116" s="19" t="s">
        <v>345</v>
      </c>
      <c r="X116" s="19" t="s">
        <v>1324</v>
      </c>
      <c r="Y116" s="19" t="s">
        <v>1345</v>
      </c>
    </row>
    <row r="117" spans="1:25" s="8" customFormat="1" ht="27" customHeight="1" x14ac:dyDescent="0.45">
      <c r="A117" s="4" t="s">
        <v>346</v>
      </c>
      <c r="B117" s="5" t="s">
        <v>342</v>
      </c>
      <c r="C117" s="5" t="s">
        <v>1121</v>
      </c>
      <c r="D117" s="5" t="s">
        <v>347</v>
      </c>
      <c r="E117" s="5" t="s">
        <v>1123</v>
      </c>
      <c r="F117" s="6" t="s">
        <v>841</v>
      </c>
      <c r="G117" s="6" t="s">
        <v>842</v>
      </c>
      <c r="H117" s="6" t="s">
        <v>23</v>
      </c>
      <c r="I117" s="5" t="s">
        <v>867</v>
      </c>
      <c r="J117" s="5" t="s">
        <v>905</v>
      </c>
      <c r="K117" s="5" t="s">
        <v>1010</v>
      </c>
      <c r="L117" s="5" t="s">
        <v>884</v>
      </c>
      <c r="M117" s="5" t="s">
        <v>323</v>
      </c>
      <c r="N117" s="5" t="s">
        <v>1124</v>
      </c>
      <c r="O117" s="7"/>
      <c r="P117" s="5"/>
      <c r="Q117" s="5"/>
      <c r="R117" s="5" t="s">
        <v>870</v>
      </c>
      <c r="S117" s="6"/>
      <c r="T117" s="19" t="s">
        <v>1102</v>
      </c>
      <c r="U117" s="19" t="s">
        <v>1125</v>
      </c>
      <c r="V117" s="19" t="s">
        <v>349</v>
      </c>
      <c r="W117" s="19" t="s">
        <v>350</v>
      </c>
      <c r="X117" s="19" t="s">
        <v>905</v>
      </c>
      <c r="Y117" s="19" t="s">
        <v>1345</v>
      </c>
    </row>
    <row r="118" spans="1:25" s="8" customFormat="1" ht="27" customHeight="1" x14ac:dyDescent="0.45">
      <c r="A118" s="4" t="s">
        <v>351</v>
      </c>
      <c r="B118" s="5" t="s">
        <v>342</v>
      </c>
      <c r="C118" s="5" t="s">
        <v>1121</v>
      </c>
      <c r="D118" s="5" t="s">
        <v>353</v>
      </c>
      <c r="E118" s="5" t="s">
        <v>1126</v>
      </c>
      <c r="F118" s="6" t="s">
        <v>841</v>
      </c>
      <c r="G118" s="6" t="s">
        <v>842</v>
      </c>
      <c r="H118" s="6" t="s">
        <v>23</v>
      </c>
      <c r="I118" s="5" t="s">
        <v>859</v>
      </c>
      <c r="J118" s="5" t="s">
        <v>905</v>
      </c>
      <c r="K118" s="5" t="s">
        <v>925</v>
      </c>
      <c r="L118" s="5" t="s">
        <v>852</v>
      </c>
      <c r="M118" s="5" t="s">
        <v>323</v>
      </c>
      <c r="N118" s="5" t="s">
        <v>924</v>
      </c>
      <c r="O118" s="7"/>
      <c r="P118" s="5"/>
      <c r="Q118" s="5"/>
      <c r="R118" s="5" t="s">
        <v>897</v>
      </c>
      <c r="S118" s="6"/>
      <c r="T118" s="19" t="s">
        <v>1102</v>
      </c>
      <c r="U118" s="19" t="s">
        <v>1125</v>
      </c>
      <c r="V118" s="19" t="s">
        <v>349</v>
      </c>
      <c r="W118" s="19" t="s">
        <v>354</v>
      </c>
      <c r="X118" s="19" t="s">
        <v>905</v>
      </c>
      <c r="Y118" s="19" t="s">
        <v>1345</v>
      </c>
    </row>
    <row r="119" spans="1:25" s="8" customFormat="1" ht="27" customHeight="1" x14ac:dyDescent="0.45">
      <c r="A119" s="4" t="s">
        <v>352</v>
      </c>
      <c r="B119" s="5" t="s">
        <v>342</v>
      </c>
      <c r="C119" s="5" t="s">
        <v>1121</v>
      </c>
      <c r="D119" s="5" t="s">
        <v>360</v>
      </c>
      <c r="E119" s="5" t="s">
        <v>1128</v>
      </c>
      <c r="F119" s="6" t="s">
        <v>841</v>
      </c>
      <c r="G119" s="6" t="s">
        <v>842</v>
      </c>
      <c r="H119" s="6" t="s">
        <v>23</v>
      </c>
      <c r="I119" s="5" t="s">
        <v>843</v>
      </c>
      <c r="J119" s="5" t="s">
        <v>1081</v>
      </c>
      <c r="K119" s="5" t="s">
        <v>1129</v>
      </c>
      <c r="L119" s="5" t="s">
        <v>846</v>
      </c>
      <c r="M119" s="5" t="s">
        <v>323</v>
      </c>
      <c r="N119" s="5" t="s">
        <v>919</v>
      </c>
      <c r="O119" s="7"/>
      <c r="P119" s="5"/>
      <c r="Q119" s="5"/>
      <c r="R119" s="5" t="s">
        <v>897</v>
      </c>
      <c r="S119" s="6"/>
      <c r="T119" s="19" t="s">
        <v>1102</v>
      </c>
      <c r="U119" s="19" t="s">
        <v>1127</v>
      </c>
      <c r="V119" s="19" t="s">
        <v>357</v>
      </c>
      <c r="W119" s="19" t="s">
        <v>361</v>
      </c>
      <c r="X119" s="19" t="s">
        <v>1326</v>
      </c>
      <c r="Y119" s="19" t="s">
        <v>1345</v>
      </c>
    </row>
    <row r="120" spans="1:25" s="8" customFormat="1" ht="27" customHeight="1" x14ac:dyDescent="0.45">
      <c r="A120" s="4" t="s">
        <v>355</v>
      </c>
      <c r="B120" s="5" t="s">
        <v>342</v>
      </c>
      <c r="C120" s="5" t="s">
        <v>1121</v>
      </c>
      <c r="D120" s="5" t="s">
        <v>364</v>
      </c>
      <c r="E120" s="5" t="s">
        <v>1130</v>
      </c>
      <c r="F120" s="6" t="s">
        <v>841</v>
      </c>
      <c r="G120" s="6" t="s">
        <v>842</v>
      </c>
      <c r="H120" s="6" t="s">
        <v>23</v>
      </c>
      <c r="I120" s="5" t="s">
        <v>843</v>
      </c>
      <c r="J120" s="5" t="s">
        <v>873</v>
      </c>
      <c r="K120" s="5" t="s">
        <v>874</v>
      </c>
      <c r="L120" s="5" t="s">
        <v>846</v>
      </c>
      <c r="M120" s="5" t="s">
        <v>215</v>
      </c>
      <c r="N120" s="5" t="s">
        <v>1052</v>
      </c>
      <c r="O120" s="7"/>
      <c r="P120" s="5"/>
      <c r="Q120" s="5"/>
      <c r="R120" s="5" t="s">
        <v>870</v>
      </c>
      <c r="S120" s="6"/>
      <c r="T120" s="19" t="s">
        <v>1102</v>
      </c>
      <c r="U120" s="19" t="s">
        <v>1127</v>
      </c>
      <c r="V120" s="19" t="s">
        <v>357</v>
      </c>
      <c r="W120" s="19" t="s">
        <v>365</v>
      </c>
      <c r="X120" s="19" t="s">
        <v>1326</v>
      </c>
      <c r="Y120" s="19" t="s">
        <v>1345</v>
      </c>
    </row>
    <row r="121" spans="1:25" s="8" customFormat="1" ht="27" customHeight="1" x14ac:dyDescent="0.45">
      <c r="A121" s="4" t="s">
        <v>358</v>
      </c>
      <c r="B121" s="5" t="s">
        <v>342</v>
      </c>
      <c r="C121" s="5" t="s">
        <v>1121</v>
      </c>
      <c r="D121" s="5" t="s">
        <v>366</v>
      </c>
      <c r="E121" s="5" t="s">
        <v>1131</v>
      </c>
      <c r="F121" s="6" t="s">
        <v>841</v>
      </c>
      <c r="G121" s="6" t="s">
        <v>842</v>
      </c>
      <c r="H121" s="6" t="s">
        <v>23</v>
      </c>
      <c r="I121" s="5" t="s">
        <v>843</v>
      </c>
      <c r="J121" s="5" t="s">
        <v>905</v>
      </c>
      <c r="K121" s="5" t="s">
        <v>1081</v>
      </c>
      <c r="L121" s="5" t="s">
        <v>846</v>
      </c>
      <c r="M121" s="5" t="s">
        <v>215</v>
      </c>
      <c r="N121" s="5" t="s">
        <v>924</v>
      </c>
      <c r="O121" s="7"/>
      <c r="P121" s="5"/>
      <c r="Q121" s="5"/>
      <c r="R121" s="5" t="s">
        <v>870</v>
      </c>
      <c r="S121" s="6"/>
      <c r="T121" s="19" t="s">
        <v>1102</v>
      </c>
      <c r="U121" s="19" t="s">
        <v>1125</v>
      </c>
      <c r="V121" s="19" t="s">
        <v>349</v>
      </c>
      <c r="W121" s="19" t="s">
        <v>367</v>
      </c>
      <c r="X121" s="19" t="s">
        <v>905</v>
      </c>
      <c r="Y121" s="19" t="s">
        <v>1345</v>
      </c>
    </row>
    <row r="122" spans="1:25" s="8" customFormat="1" ht="27" customHeight="1" x14ac:dyDescent="0.45">
      <c r="A122" s="4" t="s">
        <v>359</v>
      </c>
      <c r="B122" s="5" t="s">
        <v>342</v>
      </c>
      <c r="C122" s="5" t="s">
        <v>1121</v>
      </c>
      <c r="D122" s="5" t="s">
        <v>589</v>
      </c>
      <c r="E122" s="5" t="s">
        <v>1133</v>
      </c>
      <c r="F122" s="6" t="s">
        <v>841</v>
      </c>
      <c r="G122" s="6" t="s">
        <v>842</v>
      </c>
      <c r="H122" s="6" t="s">
        <v>58</v>
      </c>
      <c r="I122" s="5" t="s">
        <v>859</v>
      </c>
      <c r="J122" s="5" t="s">
        <v>905</v>
      </c>
      <c r="K122" s="5" t="s">
        <v>1081</v>
      </c>
      <c r="L122" s="5" t="s">
        <v>852</v>
      </c>
      <c r="M122" s="5" t="s">
        <v>323</v>
      </c>
      <c r="N122" s="5" t="s">
        <v>924</v>
      </c>
      <c r="O122" s="7"/>
      <c r="P122" s="5"/>
      <c r="Q122" s="5"/>
      <c r="R122" s="5" t="s">
        <v>870</v>
      </c>
      <c r="S122" s="6"/>
      <c r="T122" s="19" t="s">
        <v>1102</v>
      </c>
      <c r="U122" s="19" t="s">
        <v>1125</v>
      </c>
      <c r="V122" s="19" t="s">
        <v>349</v>
      </c>
      <c r="W122" s="19" t="s">
        <v>590</v>
      </c>
      <c r="X122" s="19" t="s">
        <v>905</v>
      </c>
      <c r="Y122" s="19" t="s">
        <v>1345</v>
      </c>
    </row>
    <row r="123" spans="1:25" s="8" customFormat="1" ht="27" customHeight="1" x14ac:dyDescent="0.45">
      <c r="A123" s="4" t="s">
        <v>362</v>
      </c>
      <c r="B123" s="5" t="s">
        <v>342</v>
      </c>
      <c r="C123" s="5" t="s">
        <v>1121</v>
      </c>
      <c r="D123" s="5" t="s">
        <v>368</v>
      </c>
      <c r="E123" s="5" t="s">
        <v>1134</v>
      </c>
      <c r="F123" s="6" t="s">
        <v>841</v>
      </c>
      <c r="G123" s="6" t="s">
        <v>842</v>
      </c>
      <c r="H123" s="6" t="s">
        <v>23</v>
      </c>
      <c r="I123" s="5" t="s">
        <v>867</v>
      </c>
      <c r="J123" s="5" t="s">
        <v>845</v>
      </c>
      <c r="K123" s="5" t="s">
        <v>1075</v>
      </c>
      <c r="L123" s="5" t="s">
        <v>879</v>
      </c>
      <c r="M123" s="5" t="s">
        <v>215</v>
      </c>
      <c r="N123" s="5" t="s">
        <v>1135</v>
      </c>
      <c r="O123" s="7"/>
      <c r="P123" s="5"/>
      <c r="Q123" s="5"/>
      <c r="R123" s="5" t="s">
        <v>870</v>
      </c>
      <c r="S123" s="6"/>
      <c r="T123" s="19" t="s">
        <v>1102</v>
      </c>
      <c r="U123" s="19" t="s">
        <v>1127</v>
      </c>
      <c r="V123" s="19" t="s">
        <v>357</v>
      </c>
      <c r="W123" s="19" t="s">
        <v>369</v>
      </c>
      <c r="X123" s="19" t="s">
        <v>1326</v>
      </c>
      <c r="Y123" s="19" t="s">
        <v>1345</v>
      </c>
    </row>
    <row r="124" spans="1:25" s="8" customFormat="1" ht="27" customHeight="1" x14ac:dyDescent="0.45">
      <c r="A124" s="4" t="s">
        <v>363</v>
      </c>
      <c r="B124" s="5" t="s">
        <v>342</v>
      </c>
      <c r="C124" s="5" t="s">
        <v>1121</v>
      </c>
      <c r="D124" s="5" t="s">
        <v>591</v>
      </c>
      <c r="E124" s="5" t="s">
        <v>1136</v>
      </c>
      <c r="F124" s="6" t="s">
        <v>841</v>
      </c>
      <c r="G124" s="6" t="s">
        <v>842</v>
      </c>
      <c r="H124" s="6" t="s">
        <v>58</v>
      </c>
      <c r="I124" s="5" t="s">
        <v>859</v>
      </c>
      <c r="J124" s="5" t="s">
        <v>895</v>
      </c>
      <c r="K124" s="5" t="s">
        <v>877</v>
      </c>
      <c r="L124" s="5" t="s">
        <v>852</v>
      </c>
      <c r="M124" s="5" t="s">
        <v>215</v>
      </c>
      <c r="N124" s="5" t="s">
        <v>1137</v>
      </c>
      <c r="O124" s="7"/>
      <c r="P124" s="5"/>
      <c r="Q124" s="5"/>
      <c r="R124" s="5" t="s">
        <v>853</v>
      </c>
      <c r="S124" s="6"/>
      <c r="T124" s="19" t="s">
        <v>1061</v>
      </c>
      <c r="U124" s="19" t="s">
        <v>1097</v>
      </c>
      <c r="V124" s="19" t="s">
        <v>344</v>
      </c>
      <c r="W124" s="19" t="s">
        <v>592</v>
      </c>
      <c r="X124" s="19" t="s">
        <v>1324</v>
      </c>
      <c r="Y124" s="19" t="s">
        <v>1345</v>
      </c>
    </row>
    <row r="125" spans="1:25" s="8" customFormat="1" ht="27" customHeight="1" x14ac:dyDescent="0.45">
      <c r="A125" s="4" t="s">
        <v>370</v>
      </c>
      <c r="B125" s="5" t="s">
        <v>135</v>
      </c>
      <c r="C125" s="5" t="s">
        <v>1138</v>
      </c>
      <c r="D125" s="5" t="s">
        <v>371</v>
      </c>
      <c r="E125" s="5" t="s">
        <v>1139</v>
      </c>
      <c r="F125" s="6" t="s">
        <v>841</v>
      </c>
      <c r="G125" s="6" t="s">
        <v>842</v>
      </c>
      <c r="H125" s="6" t="s">
        <v>23</v>
      </c>
      <c r="I125" s="5" t="s">
        <v>867</v>
      </c>
      <c r="J125" s="5" t="s">
        <v>873</v>
      </c>
      <c r="K125" s="5" t="s">
        <v>1140</v>
      </c>
      <c r="L125" s="5" t="s">
        <v>884</v>
      </c>
      <c r="M125" s="5" t="s">
        <v>215</v>
      </c>
      <c r="N125" s="5" t="s">
        <v>1141</v>
      </c>
      <c r="O125" s="7"/>
      <c r="P125" s="5"/>
      <c r="Q125" s="5"/>
      <c r="R125" s="5" t="s">
        <v>853</v>
      </c>
      <c r="S125" s="6"/>
      <c r="T125" s="19" t="s">
        <v>1142</v>
      </c>
      <c r="U125" s="19" t="s">
        <v>1143</v>
      </c>
      <c r="V125" s="19" t="s">
        <v>373</v>
      </c>
      <c r="W125" s="19" t="s">
        <v>374</v>
      </c>
      <c r="X125" s="19" t="s">
        <v>1323</v>
      </c>
      <c r="Y125" s="19" t="s">
        <v>1345</v>
      </c>
    </row>
    <row r="126" spans="1:25" s="8" customFormat="1" ht="27" customHeight="1" x14ac:dyDescent="0.45">
      <c r="A126" s="4" t="s">
        <v>375</v>
      </c>
      <c r="B126" s="5" t="s">
        <v>135</v>
      </c>
      <c r="C126" s="5" t="s">
        <v>1138</v>
      </c>
      <c r="D126" s="5" t="s">
        <v>376</v>
      </c>
      <c r="E126" s="5" t="s">
        <v>1144</v>
      </c>
      <c r="F126" s="6" t="s">
        <v>841</v>
      </c>
      <c r="G126" s="6" t="s">
        <v>842</v>
      </c>
      <c r="H126" s="6" t="s">
        <v>23</v>
      </c>
      <c r="I126" s="5" t="s">
        <v>843</v>
      </c>
      <c r="J126" s="5" t="s">
        <v>873</v>
      </c>
      <c r="K126" s="5" t="s">
        <v>1031</v>
      </c>
      <c r="L126" s="5" t="s">
        <v>846</v>
      </c>
      <c r="M126" s="5" t="s">
        <v>215</v>
      </c>
      <c r="N126" s="5" t="s">
        <v>924</v>
      </c>
      <c r="O126" s="7"/>
      <c r="P126" s="5"/>
      <c r="Q126" s="5"/>
      <c r="R126" s="5" t="s">
        <v>853</v>
      </c>
      <c r="S126" s="6"/>
      <c r="T126" s="19" t="s">
        <v>1142</v>
      </c>
      <c r="U126" s="19" t="s">
        <v>1143</v>
      </c>
      <c r="V126" s="19" t="s">
        <v>373</v>
      </c>
      <c r="W126" s="19" t="s">
        <v>377</v>
      </c>
      <c r="X126" s="19" t="s">
        <v>1323</v>
      </c>
      <c r="Y126" s="19" t="s">
        <v>1345</v>
      </c>
    </row>
    <row r="127" spans="1:25" s="8" customFormat="1" ht="27" customHeight="1" x14ac:dyDescent="0.45">
      <c r="A127" s="4" t="s">
        <v>378</v>
      </c>
      <c r="B127" s="5" t="s">
        <v>135</v>
      </c>
      <c r="C127" s="5" t="s">
        <v>1138</v>
      </c>
      <c r="D127" s="5" t="s">
        <v>379</v>
      </c>
      <c r="E127" s="5" t="s">
        <v>1145</v>
      </c>
      <c r="F127" s="6" t="s">
        <v>841</v>
      </c>
      <c r="G127" s="6" t="s">
        <v>842</v>
      </c>
      <c r="H127" s="6" t="s">
        <v>23</v>
      </c>
      <c r="I127" s="5" t="s">
        <v>859</v>
      </c>
      <c r="J127" s="5" t="s">
        <v>873</v>
      </c>
      <c r="K127" s="5" t="s">
        <v>845</v>
      </c>
      <c r="L127" s="5" t="s">
        <v>852</v>
      </c>
      <c r="M127" s="5" t="s">
        <v>215</v>
      </c>
      <c r="N127" s="5" t="s">
        <v>924</v>
      </c>
      <c r="O127" s="7"/>
      <c r="P127" s="5"/>
      <c r="Q127" s="5"/>
      <c r="R127" s="5" t="s">
        <v>853</v>
      </c>
      <c r="S127" s="6"/>
      <c r="T127" s="19" t="s">
        <v>1142</v>
      </c>
      <c r="U127" s="19" t="s">
        <v>1143</v>
      </c>
      <c r="V127" s="19" t="s">
        <v>373</v>
      </c>
      <c r="W127" s="19" t="s">
        <v>380</v>
      </c>
      <c r="X127" s="19" t="s">
        <v>1323</v>
      </c>
      <c r="Y127" s="19" t="s">
        <v>1345</v>
      </c>
    </row>
    <row r="128" spans="1:25" s="8" customFormat="1" ht="27" customHeight="1" x14ac:dyDescent="0.45">
      <c r="A128" s="4" t="s">
        <v>134</v>
      </c>
      <c r="B128" s="5" t="s">
        <v>135</v>
      </c>
      <c r="C128" s="5" t="s">
        <v>1138</v>
      </c>
      <c r="D128" s="5" t="s">
        <v>593</v>
      </c>
      <c r="E128" s="5" t="s">
        <v>1147</v>
      </c>
      <c r="F128" s="6" t="s">
        <v>841</v>
      </c>
      <c r="G128" s="6" t="s">
        <v>842</v>
      </c>
      <c r="H128" s="6" t="s">
        <v>58</v>
      </c>
      <c r="I128" s="5" t="s">
        <v>859</v>
      </c>
      <c r="J128" s="5" t="s">
        <v>845</v>
      </c>
      <c r="K128" s="5" t="s">
        <v>1148</v>
      </c>
      <c r="L128" s="5" t="s">
        <v>852</v>
      </c>
      <c r="M128" s="5" t="s">
        <v>215</v>
      </c>
      <c r="N128" s="5" t="s">
        <v>847</v>
      </c>
      <c r="O128" s="7"/>
      <c r="P128" s="5"/>
      <c r="Q128" s="5"/>
      <c r="R128" s="5" t="s">
        <v>853</v>
      </c>
      <c r="S128" s="6"/>
      <c r="T128" s="19" t="s">
        <v>1061</v>
      </c>
      <c r="U128" s="19" t="s">
        <v>1062</v>
      </c>
      <c r="V128" s="19" t="s">
        <v>297</v>
      </c>
      <c r="W128" s="19" t="s">
        <v>594</v>
      </c>
      <c r="X128" s="19" t="s">
        <v>1324</v>
      </c>
      <c r="Y128" s="19" t="s">
        <v>1345</v>
      </c>
    </row>
    <row r="129" spans="1:25" s="8" customFormat="1" ht="27" customHeight="1" x14ac:dyDescent="0.45">
      <c r="A129" s="4" t="s">
        <v>381</v>
      </c>
      <c r="B129" s="5" t="s">
        <v>135</v>
      </c>
      <c r="C129" s="5" t="s">
        <v>1138</v>
      </c>
      <c r="D129" s="5" t="s">
        <v>595</v>
      </c>
      <c r="E129" s="5" t="s">
        <v>1149</v>
      </c>
      <c r="F129" s="6" t="s">
        <v>841</v>
      </c>
      <c r="G129" s="6" t="s">
        <v>842</v>
      </c>
      <c r="H129" s="6" t="s">
        <v>58</v>
      </c>
      <c r="I129" s="5" t="s">
        <v>859</v>
      </c>
      <c r="J129" s="5" t="s">
        <v>845</v>
      </c>
      <c r="K129" s="5" t="s">
        <v>1148</v>
      </c>
      <c r="L129" s="5" t="s">
        <v>852</v>
      </c>
      <c r="M129" s="5" t="s">
        <v>215</v>
      </c>
      <c r="N129" s="5" t="s">
        <v>1084</v>
      </c>
      <c r="O129" s="7"/>
      <c r="P129" s="5"/>
      <c r="Q129" s="5"/>
      <c r="R129" s="5" t="s">
        <v>853</v>
      </c>
      <c r="S129" s="6"/>
      <c r="T129" s="19" t="s">
        <v>1142</v>
      </c>
      <c r="U129" s="19" t="s">
        <v>1146</v>
      </c>
      <c r="V129" s="19" t="s">
        <v>137</v>
      </c>
      <c r="W129" s="19" t="s">
        <v>596</v>
      </c>
      <c r="X129" s="19" t="s">
        <v>1323</v>
      </c>
      <c r="Y129" s="19" t="s">
        <v>1345</v>
      </c>
    </row>
    <row r="130" spans="1:25" s="8" customFormat="1" ht="27" customHeight="1" x14ac:dyDescent="0.45">
      <c r="A130" s="4" t="s">
        <v>382</v>
      </c>
      <c r="B130" s="5" t="s">
        <v>135</v>
      </c>
      <c r="C130" s="5" t="s">
        <v>1138</v>
      </c>
      <c r="D130" s="5" t="s">
        <v>597</v>
      </c>
      <c r="E130" s="5" t="s">
        <v>1150</v>
      </c>
      <c r="F130" s="6" t="s">
        <v>841</v>
      </c>
      <c r="G130" s="6" t="s">
        <v>842</v>
      </c>
      <c r="H130" s="6" t="s">
        <v>58</v>
      </c>
      <c r="I130" s="5" t="s">
        <v>867</v>
      </c>
      <c r="J130" s="5" t="s">
        <v>873</v>
      </c>
      <c r="K130" s="5" t="s">
        <v>845</v>
      </c>
      <c r="L130" s="5" t="s">
        <v>879</v>
      </c>
      <c r="M130" s="5" t="s">
        <v>167</v>
      </c>
      <c r="N130" s="5" t="s">
        <v>1151</v>
      </c>
      <c r="O130" s="7"/>
      <c r="P130" s="5"/>
      <c r="Q130" s="5"/>
      <c r="R130" s="5" t="s">
        <v>853</v>
      </c>
      <c r="S130" s="6"/>
      <c r="T130" s="19" t="s">
        <v>1142</v>
      </c>
      <c r="U130" s="19" t="s">
        <v>1146</v>
      </c>
      <c r="V130" s="19" t="s">
        <v>137</v>
      </c>
      <c r="W130" s="19" t="s">
        <v>598</v>
      </c>
      <c r="X130" s="19" t="s">
        <v>1323</v>
      </c>
      <c r="Y130" s="19" t="s">
        <v>1345</v>
      </c>
    </row>
    <row r="131" spans="1:25" s="8" customFormat="1" ht="27" customHeight="1" x14ac:dyDescent="0.45">
      <c r="A131" s="4" t="s">
        <v>383</v>
      </c>
      <c r="B131" s="5" t="s">
        <v>139</v>
      </c>
      <c r="C131" s="5" t="s">
        <v>1152</v>
      </c>
      <c r="D131" s="5" t="s">
        <v>384</v>
      </c>
      <c r="E131" s="5" t="s">
        <v>1153</v>
      </c>
      <c r="F131" s="6" t="s">
        <v>841</v>
      </c>
      <c r="G131" s="6" t="s">
        <v>842</v>
      </c>
      <c r="H131" s="6" t="s">
        <v>23</v>
      </c>
      <c r="I131" s="5" t="s">
        <v>867</v>
      </c>
      <c r="J131" s="5" t="s">
        <v>845</v>
      </c>
      <c r="K131" s="5" t="s">
        <v>1154</v>
      </c>
      <c r="L131" s="5" t="s">
        <v>892</v>
      </c>
      <c r="M131" s="5" t="s">
        <v>215</v>
      </c>
      <c r="N131" s="5" t="s">
        <v>1155</v>
      </c>
      <c r="O131" s="7"/>
      <c r="P131" s="5"/>
      <c r="Q131" s="5"/>
      <c r="R131" s="5" t="s">
        <v>870</v>
      </c>
      <c r="S131" s="6"/>
      <c r="T131" s="19" t="s">
        <v>1156</v>
      </c>
      <c r="U131" s="19" t="s">
        <v>1157</v>
      </c>
      <c r="V131" s="19" t="s">
        <v>141</v>
      </c>
      <c r="W131" s="19" t="s">
        <v>385</v>
      </c>
      <c r="X131" s="19" t="s">
        <v>1324</v>
      </c>
      <c r="Y131" s="19" t="s">
        <v>1345</v>
      </c>
    </row>
    <row r="132" spans="1:25" s="8" customFormat="1" ht="27" customHeight="1" x14ac:dyDescent="0.45">
      <c r="A132" s="4" t="s">
        <v>386</v>
      </c>
      <c r="B132" s="5" t="s">
        <v>139</v>
      </c>
      <c r="C132" s="5" t="s">
        <v>1152</v>
      </c>
      <c r="D132" s="5" t="s">
        <v>387</v>
      </c>
      <c r="E132" s="5" t="s">
        <v>1158</v>
      </c>
      <c r="F132" s="6" t="s">
        <v>841</v>
      </c>
      <c r="G132" s="6" t="s">
        <v>842</v>
      </c>
      <c r="H132" s="6" t="s">
        <v>23</v>
      </c>
      <c r="I132" s="5" t="s">
        <v>843</v>
      </c>
      <c r="J132" s="5" t="s">
        <v>845</v>
      </c>
      <c r="K132" s="5" t="s">
        <v>911</v>
      </c>
      <c r="L132" s="5" t="s">
        <v>852</v>
      </c>
      <c r="M132" s="5" t="s">
        <v>215</v>
      </c>
      <c r="N132" s="5" t="s">
        <v>956</v>
      </c>
      <c r="O132" s="7"/>
      <c r="P132" s="5"/>
      <c r="Q132" s="5"/>
      <c r="R132" s="5" t="s">
        <v>853</v>
      </c>
      <c r="S132" s="6"/>
      <c r="T132" s="19" t="s">
        <v>1156</v>
      </c>
      <c r="U132" s="19" t="s">
        <v>1157</v>
      </c>
      <c r="V132" s="19" t="s">
        <v>141</v>
      </c>
      <c r="W132" s="19" t="s">
        <v>388</v>
      </c>
      <c r="X132" s="19" t="s">
        <v>1324</v>
      </c>
      <c r="Y132" s="19" t="s">
        <v>1345</v>
      </c>
    </row>
    <row r="133" spans="1:25" s="8" customFormat="1" ht="27" customHeight="1" x14ac:dyDescent="0.45">
      <c r="A133" s="4" t="s">
        <v>138</v>
      </c>
      <c r="B133" s="5" t="s">
        <v>139</v>
      </c>
      <c r="C133" s="5" t="s">
        <v>1152</v>
      </c>
      <c r="D133" s="5" t="s">
        <v>600</v>
      </c>
      <c r="E133" s="5" t="s">
        <v>1159</v>
      </c>
      <c r="F133" s="6" t="s">
        <v>841</v>
      </c>
      <c r="G133" s="6" t="s">
        <v>842</v>
      </c>
      <c r="H133" s="6" t="s">
        <v>58</v>
      </c>
      <c r="I133" s="5" t="s">
        <v>867</v>
      </c>
      <c r="J133" s="5" t="s">
        <v>845</v>
      </c>
      <c r="K133" s="5" t="s">
        <v>883</v>
      </c>
      <c r="L133" s="5" t="s">
        <v>892</v>
      </c>
      <c r="M133" s="5" t="s">
        <v>215</v>
      </c>
      <c r="N133" s="5" t="s">
        <v>918</v>
      </c>
      <c r="O133" s="7"/>
      <c r="P133" s="5"/>
      <c r="Q133" s="5"/>
      <c r="R133" s="5" t="s">
        <v>897</v>
      </c>
      <c r="S133" s="6"/>
      <c r="T133" s="19" t="s">
        <v>1156</v>
      </c>
      <c r="U133" s="19" t="s">
        <v>1160</v>
      </c>
      <c r="V133" s="19" t="s">
        <v>602</v>
      </c>
      <c r="W133" s="19" t="s">
        <v>603</v>
      </c>
      <c r="X133" s="19" t="s">
        <v>1324</v>
      </c>
      <c r="Y133" s="19" t="s">
        <v>1345</v>
      </c>
    </row>
    <row r="134" spans="1:25" s="8" customFormat="1" ht="27" customHeight="1" x14ac:dyDescent="0.45">
      <c r="A134" s="4" t="s">
        <v>599</v>
      </c>
      <c r="B134" s="5" t="s">
        <v>139</v>
      </c>
      <c r="C134" s="5" t="s">
        <v>1152</v>
      </c>
      <c r="D134" s="5" t="s">
        <v>605</v>
      </c>
      <c r="E134" s="5" t="s">
        <v>1161</v>
      </c>
      <c r="F134" s="6" t="s">
        <v>841</v>
      </c>
      <c r="G134" s="6" t="s">
        <v>842</v>
      </c>
      <c r="H134" s="6" t="s">
        <v>58</v>
      </c>
      <c r="I134" s="5" t="s">
        <v>843</v>
      </c>
      <c r="J134" s="5" t="s">
        <v>845</v>
      </c>
      <c r="K134" s="5" t="s">
        <v>913</v>
      </c>
      <c r="L134" s="5" t="s">
        <v>846</v>
      </c>
      <c r="M134" s="5" t="s">
        <v>215</v>
      </c>
      <c r="N134" s="5" t="s">
        <v>918</v>
      </c>
      <c r="O134" s="7"/>
      <c r="P134" s="5"/>
      <c r="Q134" s="5"/>
      <c r="R134" s="5" t="s">
        <v>853</v>
      </c>
      <c r="S134" s="6"/>
      <c r="T134" s="19" t="s">
        <v>1156</v>
      </c>
      <c r="U134" s="19" t="s">
        <v>1160</v>
      </c>
      <c r="V134" s="19" t="s">
        <v>602</v>
      </c>
      <c r="W134" s="19" t="s">
        <v>606</v>
      </c>
      <c r="X134" s="19" t="s">
        <v>1324</v>
      </c>
      <c r="Y134" s="19" t="s">
        <v>1345</v>
      </c>
    </row>
    <row r="135" spans="1:25" s="8" customFormat="1" ht="27" customHeight="1" x14ac:dyDescent="0.45">
      <c r="A135" s="4" t="s">
        <v>604</v>
      </c>
      <c r="B135" s="5" t="s">
        <v>139</v>
      </c>
      <c r="C135" s="5" t="s">
        <v>1152</v>
      </c>
      <c r="D135" s="5" t="s">
        <v>390</v>
      </c>
      <c r="E135" s="5" t="s">
        <v>1162</v>
      </c>
      <c r="F135" s="6" t="s">
        <v>841</v>
      </c>
      <c r="G135" s="6" t="s">
        <v>842</v>
      </c>
      <c r="H135" s="6" t="s">
        <v>23</v>
      </c>
      <c r="I135" s="5" t="s">
        <v>867</v>
      </c>
      <c r="J135" s="5" t="s">
        <v>845</v>
      </c>
      <c r="K135" s="5" t="s">
        <v>1065</v>
      </c>
      <c r="L135" s="5" t="s">
        <v>884</v>
      </c>
      <c r="M135" s="5" t="s">
        <v>215</v>
      </c>
      <c r="N135" s="5" t="s">
        <v>918</v>
      </c>
      <c r="O135" s="7"/>
      <c r="P135" s="5"/>
      <c r="Q135" s="5"/>
      <c r="R135" s="5" t="s">
        <v>870</v>
      </c>
      <c r="S135" s="6"/>
      <c r="T135" s="19" t="s">
        <v>1156</v>
      </c>
      <c r="U135" s="19" t="s">
        <v>1163</v>
      </c>
      <c r="V135" s="19" t="s">
        <v>392</v>
      </c>
      <c r="W135" s="19" t="s">
        <v>393</v>
      </c>
      <c r="X135" s="19" t="s">
        <v>1324</v>
      </c>
      <c r="Y135" s="19" t="s">
        <v>1345</v>
      </c>
    </row>
    <row r="136" spans="1:25" s="8" customFormat="1" ht="27" customHeight="1" x14ac:dyDescent="0.45">
      <c r="A136" s="4" t="s">
        <v>389</v>
      </c>
      <c r="B136" s="5" t="s">
        <v>139</v>
      </c>
      <c r="C136" s="5" t="s">
        <v>1152</v>
      </c>
      <c r="D136" s="5" t="s">
        <v>608</v>
      </c>
      <c r="E136" s="5" t="s">
        <v>1164</v>
      </c>
      <c r="F136" s="6" t="s">
        <v>841</v>
      </c>
      <c r="G136" s="6" t="s">
        <v>842</v>
      </c>
      <c r="H136" s="6" t="s">
        <v>58</v>
      </c>
      <c r="I136" s="5" t="s">
        <v>843</v>
      </c>
      <c r="J136" s="5" t="s">
        <v>895</v>
      </c>
      <c r="K136" s="5" t="s">
        <v>845</v>
      </c>
      <c r="L136" s="5" t="s">
        <v>846</v>
      </c>
      <c r="M136" s="5" t="s">
        <v>215</v>
      </c>
      <c r="N136" s="5" t="s">
        <v>918</v>
      </c>
      <c r="O136" s="7"/>
      <c r="P136" s="5"/>
      <c r="Q136" s="5"/>
      <c r="R136" s="5" t="s">
        <v>853</v>
      </c>
      <c r="S136" s="6"/>
      <c r="T136" s="19" t="s">
        <v>1156</v>
      </c>
      <c r="U136" s="19" t="s">
        <v>1163</v>
      </c>
      <c r="V136" s="19" t="s">
        <v>392</v>
      </c>
      <c r="W136" s="19" t="s">
        <v>609</v>
      </c>
      <c r="X136" s="19" t="s">
        <v>1324</v>
      </c>
      <c r="Y136" s="19" t="s">
        <v>1345</v>
      </c>
    </row>
    <row r="137" spans="1:25" s="8" customFormat="1" ht="27" customHeight="1" x14ac:dyDescent="0.45">
      <c r="A137" s="4" t="s">
        <v>607</v>
      </c>
      <c r="B137" s="5" t="s">
        <v>139</v>
      </c>
      <c r="C137" s="5" t="s">
        <v>1152</v>
      </c>
      <c r="D137" s="5" t="s">
        <v>611</v>
      </c>
      <c r="E137" s="5" t="s">
        <v>1165</v>
      </c>
      <c r="F137" s="6" t="s">
        <v>841</v>
      </c>
      <c r="G137" s="6" t="s">
        <v>842</v>
      </c>
      <c r="H137" s="6" t="s">
        <v>58</v>
      </c>
      <c r="I137" s="5" t="s">
        <v>843</v>
      </c>
      <c r="J137" s="5" t="s">
        <v>905</v>
      </c>
      <c r="K137" s="5" t="s">
        <v>1166</v>
      </c>
      <c r="L137" s="5" t="s">
        <v>852</v>
      </c>
      <c r="M137" s="5" t="s">
        <v>167</v>
      </c>
      <c r="N137" s="5" t="s">
        <v>918</v>
      </c>
      <c r="O137" s="7"/>
      <c r="P137" s="5"/>
      <c r="Q137" s="5"/>
      <c r="R137" s="5" t="s">
        <v>897</v>
      </c>
      <c r="S137" s="6"/>
      <c r="T137" s="19" t="s">
        <v>1156</v>
      </c>
      <c r="U137" s="19" t="s">
        <v>1163</v>
      </c>
      <c r="V137" s="19" t="s">
        <v>392</v>
      </c>
      <c r="W137" s="19" t="s">
        <v>612</v>
      </c>
      <c r="X137" s="19" t="s">
        <v>1324</v>
      </c>
      <c r="Y137" s="19" t="s">
        <v>1345</v>
      </c>
    </row>
    <row r="138" spans="1:25" s="8" customFormat="1" ht="27" customHeight="1" x14ac:dyDescent="0.45">
      <c r="A138" s="4" t="s">
        <v>610</v>
      </c>
      <c r="B138" s="5" t="s">
        <v>139</v>
      </c>
      <c r="C138" s="5" t="s">
        <v>1152</v>
      </c>
      <c r="D138" s="5" t="s">
        <v>395</v>
      </c>
      <c r="E138" s="5" t="s">
        <v>1167</v>
      </c>
      <c r="F138" s="6" t="s">
        <v>841</v>
      </c>
      <c r="G138" s="6" t="s">
        <v>842</v>
      </c>
      <c r="H138" s="6" t="s">
        <v>23</v>
      </c>
      <c r="I138" s="5" t="s">
        <v>843</v>
      </c>
      <c r="J138" s="5" t="s">
        <v>851</v>
      </c>
      <c r="K138" s="5" t="s">
        <v>1168</v>
      </c>
      <c r="L138" s="5" t="s">
        <v>846</v>
      </c>
      <c r="M138" s="5" t="s">
        <v>215</v>
      </c>
      <c r="N138" s="5" t="s">
        <v>1169</v>
      </c>
      <c r="O138" s="7"/>
      <c r="P138" s="5"/>
      <c r="Q138" s="5"/>
      <c r="R138" s="5" t="s">
        <v>853</v>
      </c>
      <c r="S138" s="6"/>
      <c r="T138" s="19" t="s">
        <v>1156</v>
      </c>
      <c r="U138" s="19" t="s">
        <v>1157</v>
      </c>
      <c r="V138" s="19" t="s">
        <v>141</v>
      </c>
      <c r="W138" s="19" t="s">
        <v>396</v>
      </c>
      <c r="X138" s="19" t="s">
        <v>1324</v>
      </c>
      <c r="Y138" s="19" t="s">
        <v>1345</v>
      </c>
    </row>
    <row r="139" spans="1:25" s="8" customFormat="1" ht="27" customHeight="1" x14ac:dyDescent="0.45">
      <c r="A139" s="4" t="s">
        <v>394</v>
      </c>
      <c r="B139" s="5" t="s">
        <v>139</v>
      </c>
      <c r="C139" s="5" t="s">
        <v>1152</v>
      </c>
      <c r="D139" s="5" t="s">
        <v>613</v>
      </c>
      <c r="E139" s="5" t="s">
        <v>1170</v>
      </c>
      <c r="F139" s="6" t="s">
        <v>841</v>
      </c>
      <c r="G139" s="6" t="s">
        <v>842</v>
      </c>
      <c r="H139" s="6" t="s">
        <v>58</v>
      </c>
      <c r="I139" s="5" t="s">
        <v>867</v>
      </c>
      <c r="J139" s="5" t="s">
        <v>845</v>
      </c>
      <c r="K139" s="5" t="s">
        <v>930</v>
      </c>
      <c r="L139" s="5" t="s">
        <v>884</v>
      </c>
      <c r="M139" s="5" t="s">
        <v>215</v>
      </c>
      <c r="N139" s="5" t="s">
        <v>918</v>
      </c>
      <c r="O139" s="7"/>
      <c r="P139" s="5"/>
      <c r="Q139" s="5"/>
      <c r="R139" s="5" t="s">
        <v>853</v>
      </c>
      <c r="S139" s="6"/>
      <c r="T139" s="19" t="s">
        <v>1156</v>
      </c>
      <c r="U139" s="19" t="s">
        <v>1157</v>
      </c>
      <c r="V139" s="19" t="s">
        <v>141</v>
      </c>
      <c r="W139" s="19" t="s">
        <v>614</v>
      </c>
      <c r="X139" s="19" t="s">
        <v>1324</v>
      </c>
      <c r="Y139" s="19" t="s">
        <v>1345</v>
      </c>
    </row>
    <row r="140" spans="1:25" s="8" customFormat="1" ht="27" customHeight="1" x14ac:dyDescent="0.45">
      <c r="A140" s="4" t="s">
        <v>397</v>
      </c>
      <c r="B140" s="5" t="s">
        <v>143</v>
      </c>
      <c r="C140" s="5" t="s">
        <v>1171</v>
      </c>
      <c r="D140" s="5" t="s">
        <v>398</v>
      </c>
      <c r="E140" s="5" t="s">
        <v>1172</v>
      </c>
      <c r="F140" s="6" t="s">
        <v>841</v>
      </c>
      <c r="G140" s="6" t="s">
        <v>842</v>
      </c>
      <c r="H140" s="6" t="s">
        <v>23</v>
      </c>
      <c r="I140" s="5" t="s">
        <v>843</v>
      </c>
      <c r="J140" s="5" t="s">
        <v>845</v>
      </c>
      <c r="K140" s="5" t="s">
        <v>1173</v>
      </c>
      <c r="L140" s="5" t="s">
        <v>846</v>
      </c>
      <c r="M140" s="5" t="s">
        <v>167</v>
      </c>
      <c r="N140" s="5" t="s">
        <v>918</v>
      </c>
      <c r="O140" s="7"/>
      <c r="P140" s="5"/>
      <c r="Q140" s="5"/>
      <c r="R140" s="5" t="s">
        <v>853</v>
      </c>
      <c r="S140" s="6"/>
      <c r="T140" s="19" t="s">
        <v>1174</v>
      </c>
      <c r="U140" s="19" t="s">
        <v>1175</v>
      </c>
      <c r="V140" s="19" t="s">
        <v>161</v>
      </c>
      <c r="W140" s="19" t="s">
        <v>399</v>
      </c>
      <c r="X140" s="19" t="s">
        <v>1323</v>
      </c>
      <c r="Y140" s="19" t="s">
        <v>1345</v>
      </c>
    </row>
    <row r="141" spans="1:25" s="8" customFormat="1" ht="27" customHeight="1" x14ac:dyDescent="0.45">
      <c r="A141" s="4" t="s">
        <v>158</v>
      </c>
      <c r="B141" s="5" t="s">
        <v>143</v>
      </c>
      <c r="C141" s="5" t="s">
        <v>1171</v>
      </c>
      <c r="D141" s="5" t="s">
        <v>159</v>
      </c>
      <c r="E141" s="5" t="s">
        <v>1176</v>
      </c>
      <c r="F141" s="6" t="s">
        <v>841</v>
      </c>
      <c r="G141" s="6" t="s">
        <v>842</v>
      </c>
      <c r="H141" s="6" t="s">
        <v>58</v>
      </c>
      <c r="I141" s="5" t="s">
        <v>867</v>
      </c>
      <c r="J141" s="5" t="s">
        <v>845</v>
      </c>
      <c r="K141" s="5" t="s">
        <v>1177</v>
      </c>
      <c r="L141" s="5" t="s">
        <v>892</v>
      </c>
      <c r="M141" s="5" t="s">
        <v>70</v>
      </c>
      <c r="N141" s="5" t="s">
        <v>1178</v>
      </c>
      <c r="O141" s="7"/>
      <c r="P141" s="5"/>
      <c r="Q141" s="5"/>
      <c r="R141" s="5" t="s">
        <v>853</v>
      </c>
      <c r="S141" s="6"/>
      <c r="T141" s="19" t="s">
        <v>1174</v>
      </c>
      <c r="U141" s="19" t="s">
        <v>1175</v>
      </c>
      <c r="V141" s="19" t="s">
        <v>161</v>
      </c>
      <c r="W141" s="19" t="s">
        <v>162</v>
      </c>
      <c r="X141" s="19" t="s">
        <v>1323</v>
      </c>
      <c r="Y141" s="19" t="s">
        <v>1344</v>
      </c>
    </row>
    <row r="142" spans="1:25" s="8" customFormat="1" ht="27" customHeight="1" x14ac:dyDescent="0.45">
      <c r="A142" s="4" t="s">
        <v>400</v>
      </c>
      <c r="B142" s="5" t="s">
        <v>143</v>
      </c>
      <c r="C142" s="5" t="s">
        <v>1171</v>
      </c>
      <c r="D142" s="5" t="s">
        <v>401</v>
      </c>
      <c r="E142" s="5" t="s">
        <v>1352</v>
      </c>
      <c r="F142" s="6" t="s">
        <v>841</v>
      </c>
      <c r="G142" s="6" t="s">
        <v>842</v>
      </c>
      <c r="H142" s="6" t="s">
        <v>23</v>
      </c>
      <c r="I142" s="5" t="s">
        <v>843</v>
      </c>
      <c r="J142" s="5" t="s">
        <v>851</v>
      </c>
      <c r="K142" s="5" t="s">
        <v>845</v>
      </c>
      <c r="L142" s="5" t="s">
        <v>846</v>
      </c>
      <c r="M142" s="5" t="s">
        <v>167</v>
      </c>
      <c r="N142" s="5" t="s">
        <v>918</v>
      </c>
      <c r="O142" s="7"/>
      <c r="P142" s="5"/>
      <c r="Q142" s="5"/>
      <c r="R142" s="5" t="s">
        <v>853</v>
      </c>
      <c r="S142" s="6"/>
      <c r="T142" s="19" t="s">
        <v>1174</v>
      </c>
      <c r="U142" s="19" t="s">
        <v>1175</v>
      </c>
      <c r="V142" s="19" t="s">
        <v>161</v>
      </c>
      <c r="W142" s="19" t="s">
        <v>402</v>
      </c>
      <c r="X142" s="19" t="s">
        <v>1323</v>
      </c>
      <c r="Y142" s="19" t="s">
        <v>1345</v>
      </c>
    </row>
    <row r="143" spans="1:25" s="8" customFormat="1" ht="27" customHeight="1" x14ac:dyDescent="0.45">
      <c r="A143" s="4" t="s">
        <v>403</v>
      </c>
      <c r="B143" s="5" t="s">
        <v>143</v>
      </c>
      <c r="C143" s="5" t="s">
        <v>1171</v>
      </c>
      <c r="D143" s="5" t="s">
        <v>616</v>
      </c>
      <c r="E143" s="5" t="s">
        <v>1179</v>
      </c>
      <c r="F143" s="6" t="s">
        <v>841</v>
      </c>
      <c r="G143" s="6" t="s">
        <v>842</v>
      </c>
      <c r="H143" s="6" t="s">
        <v>58</v>
      </c>
      <c r="I143" s="5" t="s">
        <v>843</v>
      </c>
      <c r="J143" s="5" t="s">
        <v>1081</v>
      </c>
      <c r="K143" s="5" t="s">
        <v>1168</v>
      </c>
      <c r="L143" s="5" t="s">
        <v>846</v>
      </c>
      <c r="M143" s="5" t="s">
        <v>167</v>
      </c>
      <c r="N143" s="5" t="s">
        <v>918</v>
      </c>
      <c r="O143" s="7"/>
      <c r="P143" s="5"/>
      <c r="Q143" s="5"/>
      <c r="R143" s="5" t="s">
        <v>853</v>
      </c>
      <c r="S143" s="6"/>
      <c r="T143" s="19" t="s">
        <v>1174</v>
      </c>
      <c r="U143" s="19" t="s">
        <v>1180</v>
      </c>
      <c r="V143" s="19" t="s">
        <v>618</v>
      </c>
      <c r="W143" s="19" t="s">
        <v>619</v>
      </c>
      <c r="X143" s="19" t="s">
        <v>1323</v>
      </c>
      <c r="Y143" s="19" t="s">
        <v>1345</v>
      </c>
    </row>
    <row r="144" spans="1:25" s="8" customFormat="1" ht="27" customHeight="1" x14ac:dyDescent="0.45">
      <c r="A144" s="4" t="s">
        <v>615</v>
      </c>
      <c r="B144" s="5" t="s">
        <v>143</v>
      </c>
      <c r="C144" s="5" t="s">
        <v>1171</v>
      </c>
      <c r="D144" s="5" t="s">
        <v>621</v>
      </c>
      <c r="E144" s="5" t="s">
        <v>1181</v>
      </c>
      <c r="F144" s="6" t="s">
        <v>841</v>
      </c>
      <c r="G144" s="6" t="s">
        <v>842</v>
      </c>
      <c r="H144" s="6" t="s">
        <v>58</v>
      </c>
      <c r="I144" s="5" t="s">
        <v>867</v>
      </c>
      <c r="J144" s="5" t="s">
        <v>1081</v>
      </c>
      <c r="K144" s="5" t="s">
        <v>1068</v>
      </c>
      <c r="L144" s="5" t="s">
        <v>879</v>
      </c>
      <c r="M144" s="5" t="s">
        <v>167</v>
      </c>
      <c r="N144" s="5" t="s">
        <v>918</v>
      </c>
      <c r="O144" s="7"/>
      <c r="P144" s="5"/>
      <c r="Q144" s="5"/>
      <c r="R144" s="5" t="s">
        <v>853</v>
      </c>
      <c r="S144" s="6"/>
      <c r="T144" s="19" t="s">
        <v>1174</v>
      </c>
      <c r="U144" s="19" t="s">
        <v>1180</v>
      </c>
      <c r="V144" s="19" t="s">
        <v>618</v>
      </c>
      <c r="W144" s="19" t="s">
        <v>622</v>
      </c>
      <c r="X144" s="19" t="s">
        <v>1323</v>
      </c>
      <c r="Y144" s="19" t="s">
        <v>1345</v>
      </c>
    </row>
    <row r="145" spans="1:25" s="8" customFormat="1" ht="27" customHeight="1" x14ac:dyDescent="0.45">
      <c r="A145" s="4" t="s">
        <v>620</v>
      </c>
      <c r="B145" s="5" t="s">
        <v>143</v>
      </c>
      <c r="C145" s="5" t="s">
        <v>1171</v>
      </c>
      <c r="D145" s="5" t="s">
        <v>624</v>
      </c>
      <c r="E145" s="5" t="s">
        <v>1182</v>
      </c>
      <c r="F145" s="6" t="s">
        <v>841</v>
      </c>
      <c r="G145" s="6" t="s">
        <v>842</v>
      </c>
      <c r="H145" s="6" t="s">
        <v>58</v>
      </c>
      <c r="I145" s="5" t="s">
        <v>843</v>
      </c>
      <c r="J145" s="5" t="s">
        <v>845</v>
      </c>
      <c r="K145" s="5" t="s">
        <v>1063</v>
      </c>
      <c r="L145" s="5" t="s">
        <v>846</v>
      </c>
      <c r="M145" s="5" t="s">
        <v>167</v>
      </c>
      <c r="N145" s="5" t="s">
        <v>924</v>
      </c>
      <c r="O145" s="7"/>
      <c r="P145" s="5"/>
      <c r="Q145" s="5"/>
      <c r="R145" s="5" t="s">
        <v>853</v>
      </c>
      <c r="S145" s="6"/>
      <c r="T145" s="19" t="s">
        <v>1174</v>
      </c>
      <c r="U145" s="19" t="s">
        <v>1180</v>
      </c>
      <c r="V145" s="19" t="s">
        <v>618</v>
      </c>
      <c r="W145" s="19" t="s">
        <v>625</v>
      </c>
      <c r="X145" s="19" t="s">
        <v>1323</v>
      </c>
      <c r="Y145" s="19" t="s">
        <v>1345</v>
      </c>
    </row>
    <row r="146" spans="1:25" s="8" customFormat="1" ht="27" customHeight="1" x14ac:dyDescent="0.45">
      <c r="A146" s="4" t="s">
        <v>623</v>
      </c>
      <c r="B146" s="5" t="s">
        <v>143</v>
      </c>
      <c r="C146" s="5" t="s">
        <v>1171</v>
      </c>
      <c r="D146" s="5" t="s">
        <v>627</v>
      </c>
      <c r="E146" s="5" t="s">
        <v>1183</v>
      </c>
      <c r="F146" s="6" t="s">
        <v>841</v>
      </c>
      <c r="G146" s="6" t="s">
        <v>842</v>
      </c>
      <c r="H146" s="6" t="s">
        <v>58</v>
      </c>
      <c r="I146" s="5" t="s">
        <v>867</v>
      </c>
      <c r="J146" s="5" t="s">
        <v>845</v>
      </c>
      <c r="K146" s="5" t="s">
        <v>1184</v>
      </c>
      <c r="L146" s="5" t="s">
        <v>884</v>
      </c>
      <c r="M146" s="5" t="s">
        <v>167</v>
      </c>
      <c r="N146" s="5" t="s">
        <v>918</v>
      </c>
      <c r="O146" s="7"/>
      <c r="P146" s="5"/>
      <c r="Q146" s="5"/>
      <c r="R146" s="5" t="s">
        <v>853</v>
      </c>
      <c r="S146" s="6"/>
      <c r="T146" s="19" t="s">
        <v>1174</v>
      </c>
      <c r="U146" s="19" t="s">
        <v>1185</v>
      </c>
      <c r="V146" s="19" t="s">
        <v>407</v>
      </c>
      <c r="W146" s="19" t="s">
        <v>628</v>
      </c>
      <c r="X146" s="19" t="s">
        <v>1323</v>
      </c>
      <c r="Y146" s="19" t="s">
        <v>1345</v>
      </c>
    </row>
    <row r="147" spans="1:25" s="8" customFormat="1" ht="13.5" customHeight="1" x14ac:dyDescent="0.45">
      <c r="A147" s="4" t="s">
        <v>626</v>
      </c>
      <c r="B147" s="5" t="s">
        <v>143</v>
      </c>
      <c r="C147" s="5" t="s">
        <v>1171</v>
      </c>
      <c r="D147" s="5" t="s">
        <v>630</v>
      </c>
      <c r="E147" s="5" t="s">
        <v>1186</v>
      </c>
      <c r="F147" s="6" t="s">
        <v>841</v>
      </c>
      <c r="G147" s="6" t="s">
        <v>842</v>
      </c>
      <c r="H147" s="6" t="s">
        <v>58</v>
      </c>
      <c r="I147" s="5" t="s">
        <v>843</v>
      </c>
      <c r="J147" s="5" t="s">
        <v>845</v>
      </c>
      <c r="K147" s="5" t="s">
        <v>1187</v>
      </c>
      <c r="L147" s="5" t="s">
        <v>846</v>
      </c>
      <c r="M147" s="5" t="s">
        <v>167</v>
      </c>
      <c r="N147" s="5" t="s">
        <v>918</v>
      </c>
      <c r="O147" s="7"/>
      <c r="P147" s="5"/>
      <c r="Q147" s="5"/>
      <c r="R147" s="5" t="s">
        <v>853</v>
      </c>
      <c r="S147" s="6"/>
      <c r="T147" s="19" t="s">
        <v>1174</v>
      </c>
      <c r="U147" s="19" t="s">
        <v>1185</v>
      </c>
      <c r="V147" s="19" t="s">
        <v>407</v>
      </c>
      <c r="W147" s="19" t="s">
        <v>631</v>
      </c>
      <c r="X147" s="19" t="s">
        <v>1323</v>
      </c>
      <c r="Y147" s="19" t="s">
        <v>1345</v>
      </c>
    </row>
    <row r="148" spans="1:25" s="8" customFormat="1" ht="27" customHeight="1" x14ac:dyDescent="0.45">
      <c r="A148" s="4" t="s">
        <v>629</v>
      </c>
      <c r="B148" s="5" t="s">
        <v>143</v>
      </c>
      <c r="C148" s="5" t="s">
        <v>1171</v>
      </c>
      <c r="D148" s="5" t="s">
        <v>405</v>
      </c>
      <c r="E148" s="5" t="s">
        <v>1188</v>
      </c>
      <c r="F148" s="6" t="s">
        <v>841</v>
      </c>
      <c r="G148" s="6" t="s">
        <v>842</v>
      </c>
      <c r="H148" s="6" t="s">
        <v>23</v>
      </c>
      <c r="I148" s="5" t="s">
        <v>843</v>
      </c>
      <c r="J148" s="5" t="s">
        <v>985</v>
      </c>
      <c r="K148" s="5" t="s">
        <v>938</v>
      </c>
      <c r="L148" s="5" t="s">
        <v>846</v>
      </c>
      <c r="M148" s="5" t="s">
        <v>167</v>
      </c>
      <c r="N148" s="5" t="s">
        <v>918</v>
      </c>
      <c r="O148" s="7"/>
      <c r="P148" s="5"/>
      <c r="Q148" s="5"/>
      <c r="R148" s="5" t="s">
        <v>853</v>
      </c>
      <c r="S148" s="6"/>
      <c r="T148" s="19" t="s">
        <v>1174</v>
      </c>
      <c r="U148" s="19" t="s">
        <v>1185</v>
      </c>
      <c r="V148" s="19" t="s">
        <v>407</v>
      </c>
      <c r="W148" s="19" t="s">
        <v>408</v>
      </c>
      <c r="X148" s="19" t="s">
        <v>1323</v>
      </c>
      <c r="Y148" s="19" t="s">
        <v>1345</v>
      </c>
    </row>
    <row r="149" spans="1:25" s="8" customFormat="1" ht="27" customHeight="1" x14ac:dyDescent="0.45">
      <c r="A149" s="4" t="s">
        <v>404</v>
      </c>
      <c r="B149" s="5" t="s">
        <v>143</v>
      </c>
      <c r="C149" s="5" t="s">
        <v>1171</v>
      </c>
      <c r="D149" s="5" t="s">
        <v>633</v>
      </c>
      <c r="E149" s="5" t="s">
        <v>1189</v>
      </c>
      <c r="F149" s="6" t="s">
        <v>841</v>
      </c>
      <c r="G149" s="6" t="s">
        <v>842</v>
      </c>
      <c r="H149" s="6" t="s">
        <v>58</v>
      </c>
      <c r="I149" s="5" t="s">
        <v>859</v>
      </c>
      <c r="J149" s="5" t="s">
        <v>1081</v>
      </c>
      <c r="K149" s="5" t="s">
        <v>1190</v>
      </c>
      <c r="L149" s="5" t="s">
        <v>852</v>
      </c>
      <c r="M149" s="5" t="s">
        <v>167</v>
      </c>
      <c r="N149" s="5" t="s">
        <v>918</v>
      </c>
      <c r="O149" s="7"/>
      <c r="P149" s="5"/>
      <c r="Q149" s="5"/>
      <c r="R149" s="5" t="s">
        <v>853</v>
      </c>
      <c r="S149" s="6"/>
      <c r="T149" s="19" t="s">
        <v>1174</v>
      </c>
      <c r="U149" s="19" t="s">
        <v>1185</v>
      </c>
      <c r="V149" s="19" t="s">
        <v>407</v>
      </c>
      <c r="W149" s="19" t="s">
        <v>634</v>
      </c>
      <c r="X149" s="19" t="s">
        <v>1323</v>
      </c>
      <c r="Y149" s="19" t="s">
        <v>1345</v>
      </c>
    </row>
    <row r="150" spans="1:25" s="8" customFormat="1" ht="27" customHeight="1" x14ac:dyDescent="0.45">
      <c r="A150" s="4" t="s">
        <v>632</v>
      </c>
      <c r="B150" s="5" t="s">
        <v>143</v>
      </c>
      <c r="C150" s="5" t="s">
        <v>1171</v>
      </c>
      <c r="D150" s="5" t="s">
        <v>635</v>
      </c>
      <c r="E150" s="5" t="s">
        <v>1192</v>
      </c>
      <c r="F150" s="6" t="s">
        <v>841</v>
      </c>
      <c r="G150" s="6" t="s">
        <v>842</v>
      </c>
      <c r="H150" s="6" t="s">
        <v>58</v>
      </c>
      <c r="I150" s="5" t="s">
        <v>843</v>
      </c>
      <c r="J150" s="5" t="s">
        <v>1081</v>
      </c>
      <c r="K150" s="5" t="s">
        <v>1068</v>
      </c>
      <c r="L150" s="5" t="s">
        <v>846</v>
      </c>
      <c r="M150" s="5" t="s">
        <v>167</v>
      </c>
      <c r="N150" s="5" t="s">
        <v>918</v>
      </c>
      <c r="O150" s="7"/>
      <c r="P150" s="5"/>
      <c r="Q150" s="5"/>
      <c r="R150" s="5" t="s">
        <v>853</v>
      </c>
      <c r="S150" s="6"/>
      <c r="T150" s="19" t="s">
        <v>1174</v>
      </c>
      <c r="U150" s="19" t="s">
        <v>1180</v>
      </c>
      <c r="V150" s="19" t="s">
        <v>618</v>
      </c>
      <c r="W150" s="19" t="s">
        <v>636</v>
      </c>
      <c r="X150" s="19" t="s">
        <v>1323</v>
      </c>
      <c r="Y150" s="19" t="s">
        <v>1345</v>
      </c>
    </row>
    <row r="151" spans="1:25" s="8" customFormat="1" ht="27" customHeight="1" x14ac:dyDescent="0.45">
      <c r="A151" s="4" t="s">
        <v>142</v>
      </c>
      <c r="B151" s="5" t="s">
        <v>143</v>
      </c>
      <c r="C151" s="5" t="s">
        <v>1171</v>
      </c>
      <c r="D151" s="5" t="s">
        <v>409</v>
      </c>
      <c r="E151" s="5" t="s">
        <v>1193</v>
      </c>
      <c r="F151" s="6" t="s">
        <v>841</v>
      </c>
      <c r="G151" s="6" t="s">
        <v>842</v>
      </c>
      <c r="H151" s="6" t="s">
        <v>23</v>
      </c>
      <c r="I151" s="5" t="s">
        <v>843</v>
      </c>
      <c r="J151" s="5" t="s">
        <v>845</v>
      </c>
      <c r="K151" s="5" t="s">
        <v>930</v>
      </c>
      <c r="L151" s="5" t="s">
        <v>846</v>
      </c>
      <c r="M151" s="5" t="s">
        <v>167</v>
      </c>
      <c r="N151" s="5" t="s">
        <v>924</v>
      </c>
      <c r="O151" s="7"/>
      <c r="P151" s="5"/>
      <c r="Q151" s="5"/>
      <c r="R151" s="5" t="s">
        <v>853</v>
      </c>
      <c r="S151" s="6"/>
      <c r="T151" s="19" t="s">
        <v>1174</v>
      </c>
      <c r="U151" s="19" t="s">
        <v>1191</v>
      </c>
      <c r="V151" s="19" t="s">
        <v>145</v>
      </c>
      <c r="W151" s="19" t="s">
        <v>410</v>
      </c>
      <c r="X151" s="19" t="s">
        <v>1326</v>
      </c>
      <c r="Y151" s="19" t="s">
        <v>1345</v>
      </c>
    </row>
    <row r="152" spans="1:25" s="8" customFormat="1" ht="27" customHeight="1" x14ac:dyDescent="0.45">
      <c r="A152" s="4" t="s">
        <v>637</v>
      </c>
      <c r="B152" s="5" t="s">
        <v>413</v>
      </c>
      <c r="C152" s="5" t="s">
        <v>1194</v>
      </c>
      <c r="D152" s="5" t="s">
        <v>638</v>
      </c>
      <c r="E152" s="5" t="s">
        <v>1195</v>
      </c>
      <c r="F152" s="6" t="s">
        <v>841</v>
      </c>
      <c r="G152" s="6" t="s">
        <v>842</v>
      </c>
      <c r="H152" s="6" t="s">
        <v>58</v>
      </c>
      <c r="I152" s="5" t="s">
        <v>867</v>
      </c>
      <c r="J152" s="5" t="s">
        <v>845</v>
      </c>
      <c r="K152" s="5" t="s">
        <v>974</v>
      </c>
      <c r="L152" s="5" t="s">
        <v>879</v>
      </c>
      <c r="M152" s="5" t="s">
        <v>215</v>
      </c>
      <c r="N152" s="5" t="s">
        <v>918</v>
      </c>
      <c r="O152" s="7"/>
      <c r="P152" s="5"/>
      <c r="Q152" s="5"/>
      <c r="R152" s="5" t="s">
        <v>870</v>
      </c>
      <c r="S152" s="6"/>
      <c r="T152" s="19" t="s">
        <v>1061</v>
      </c>
      <c r="U152" s="19" t="s">
        <v>1062</v>
      </c>
      <c r="V152" s="19" t="s">
        <v>297</v>
      </c>
      <c r="W152" s="19" t="s">
        <v>639</v>
      </c>
      <c r="X152" s="19" t="s">
        <v>1324</v>
      </c>
      <c r="Y152" s="19" t="s">
        <v>1345</v>
      </c>
    </row>
    <row r="153" spans="1:25" s="8" customFormat="1" ht="27" customHeight="1" x14ac:dyDescent="0.45">
      <c r="A153" s="4" t="s">
        <v>411</v>
      </c>
      <c r="B153" s="5" t="s">
        <v>413</v>
      </c>
      <c r="C153" s="5" t="s">
        <v>1194</v>
      </c>
      <c r="D153" s="5" t="s">
        <v>412</v>
      </c>
      <c r="E153" s="5" t="s">
        <v>1196</v>
      </c>
      <c r="F153" s="6" t="s">
        <v>841</v>
      </c>
      <c r="G153" s="6" t="s">
        <v>842</v>
      </c>
      <c r="H153" s="6" t="s">
        <v>23</v>
      </c>
      <c r="I153" s="5" t="s">
        <v>859</v>
      </c>
      <c r="J153" s="5" t="s">
        <v>845</v>
      </c>
      <c r="K153" s="5" t="s">
        <v>974</v>
      </c>
      <c r="L153" s="5" t="s">
        <v>852</v>
      </c>
      <c r="M153" s="5" t="s">
        <v>215</v>
      </c>
      <c r="N153" s="5" t="s">
        <v>918</v>
      </c>
      <c r="O153" s="7"/>
      <c r="P153" s="5"/>
      <c r="Q153" s="5"/>
      <c r="R153" s="5" t="s">
        <v>848</v>
      </c>
      <c r="S153" s="6"/>
      <c r="T153" s="19" t="s">
        <v>1061</v>
      </c>
      <c r="U153" s="19" t="s">
        <v>1062</v>
      </c>
      <c r="V153" s="19" t="s">
        <v>297</v>
      </c>
      <c r="W153" s="19" t="s">
        <v>414</v>
      </c>
      <c r="X153" s="19" t="s">
        <v>1324</v>
      </c>
      <c r="Y153" s="19" t="s">
        <v>1345</v>
      </c>
    </row>
    <row r="154" spans="1:25" s="8" customFormat="1" ht="27" customHeight="1" x14ac:dyDescent="0.45">
      <c r="A154" s="4" t="s">
        <v>415</v>
      </c>
      <c r="B154" s="5" t="s">
        <v>413</v>
      </c>
      <c r="C154" s="5" t="s">
        <v>1194</v>
      </c>
      <c r="D154" s="5" t="s">
        <v>416</v>
      </c>
      <c r="E154" s="5" t="s">
        <v>1197</v>
      </c>
      <c r="F154" s="6" t="s">
        <v>841</v>
      </c>
      <c r="G154" s="6" t="s">
        <v>842</v>
      </c>
      <c r="H154" s="6" t="s">
        <v>23</v>
      </c>
      <c r="I154" s="5" t="s">
        <v>843</v>
      </c>
      <c r="J154" s="5" t="s">
        <v>905</v>
      </c>
      <c r="K154" s="5" t="s">
        <v>921</v>
      </c>
      <c r="L154" s="5" t="s">
        <v>852</v>
      </c>
      <c r="M154" s="5" t="s">
        <v>215</v>
      </c>
      <c r="N154" s="5" t="s">
        <v>918</v>
      </c>
      <c r="O154" s="7"/>
      <c r="P154" s="5"/>
      <c r="Q154" s="5"/>
      <c r="R154" s="5" t="s">
        <v>897</v>
      </c>
      <c r="S154" s="6"/>
      <c r="T154" s="19" t="s">
        <v>1061</v>
      </c>
      <c r="U154" s="19" t="s">
        <v>1062</v>
      </c>
      <c r="V154" s="19" t="s">
        <v>297</v>
      </c>
      <c r="W154" s="19" t="s">
        <v>417</v>
      </c>
      <c r="X154" s="19" t="s">
        <v>1324</v>
      </c>
      <c r="Y154" s="19" t="s">
        <v>1345</v>
      </c>
    </row>
    <row r="155" spans="1:25" s="8" customFormat="1" ht="27" customHeight="1" x14ac:dyDescent="0.45">
      <c r="A155" s="4" t="s">
        <v>418</v>
      </c>
      <c r="B155" s="5" t="s">
        <v>413</v>
      </c>
      <c r="C155" s="5" t="s">
        <v>1194</v>
      </c>
      <c r="D155" s="5" t="s">
        <v>422</v>
      </c>
      <c r="E155" s="5" t="s">
        <v>1200</v>
      </c>
      <c r="F155" s="6" t="s">
        <v>841</v>
      </c>
      <c r="G155" s="6" t="s">
        <v>842</v>
      </c>
      <c r="H155" s="6" t="s">
        <v>23</v>
      </c>
      <c r="I155" s="5" t="s">
        <v>843</v>
      </c>
      <c r="J155" s="5" t="s">
        <v>905</v>
      </c>
      <c r="K155" s="5" t="s">
        <v>845</v>
      </c>
      <c r="L155" s="5" t="s">
        <v>852</v>
      </c>
      <c r="M155" s="5" t="s">
        <v>215</v>
      </c>
      <c r="N155" s="5" t="s">
        <v>918</v>
      </c>
      <c r="O155" s="7"/>
      <c r="P155" s="5"/>
      <c r="Q155" s="5"/>
      <c r="R155" s="5" t="s">
        <v>897</v>
      </c>
      <c r="S155" s="6"/>
      <c r="T155" s="19" t="s">
        <v>1198</v>
      </c>
      <c r="U155" s="19" t="s">
        <v>1201</v>
      </c>
      <c r="V155" s="19" t="s">
        <v>424</v>
      </c>
      <c r="W155" s="19" t="s">
        <v>425</v>
      </c>
      <c r="X155" s="19" t="s">
        <v>1323</v>
      </c>
      <c r="Y155" s="19" t="s">
        <v>1345</v>
      </c>
    </row>
    <row r="156" spans="1:25" s="8" customFormat="1" ht="27" customHeight="1" x14ac:dyDescent="0.45">
      <c r="A156" s="4" t="s">
        <v>421</v>
      </c>
      <c r="B156" s="5" t="s">
        <v>413</v>
      </c>
      <c r="C156" s="5" t="s">
        <v>1194</v>
      </c>
      <c r="D156" s="5" t="s">
        <v>641</v>
      </c>
      <c r="E156" s="5" t="s">
        <v>1202</v>
      </c>
      <c r="F156" s="6" t="s">
        <v>841</v>
      </c>
      <c r="G156" s="6" t="s">
        <v>842</v>
      </c>
      <c r="H156" s="6" t="s">
        <v>58</v>
      </c>
      <c r="I156" s="5" t="s">
        <v>867</v>
      </c>
      <c r="J156" s="5" t="s">
        <v>845</v>
      </c>
      <c r="K156" s="5" t="s">
        <v>1087</v>
      </c>
      <c r="L156" s="5" t="s">
        <v>884</v>
      </c>
      <c r="M156" s="5" t="s">
        <v>215</v>
      </c>
      <c r="N156" s="5" t="s">
        <v>1203</v>
      </c>
      <c r="O156" s="7"/>
      <c r="P156" s="5"/>
      <c r="Q156" s="5"/>
      <c r="R156" s="5" t="s">
        <v>897</v>
      </c>
      <c r="S156" s="6"/>
      <c r="T156" s="19" t="s">
        <v>1198</v>
      </c>
      <c r="U156" s="19" t="s">
        <v>1199</v>
      </c>
      <c r="V156" s="19" t="s">
        <v>420</v>
      </c>
      <c r="W156" s="19" t="s">
        <v>642</v>
      </c>
      <c r="X156" s="19" t="s">
        <v>1323</v>
      </c>
      <c r="Y156" s="19" t="s">
        <v>1345</v>
      </c>
    </row>
    <row r="157" spans="1:25" s="8" customFormat="1" ht="27" customHeight="1" x14ac:dyDescent="0.45">
      <c r="A157" s="4" t="s">
        <v>640</v>
      </c>
      <c r="B157" s="5" t="s">
        <v>413</v>
      </c>
      <c r="C157" s="5" t="s">
        <v>1194</v>
      </c>
      <c r="D157" s="5" t="s">
        <v>644</v>
      </c>
      <c r="E157" s="5" t="s">
        <v>1204</v>
      </c>
      <c r="F157" s="6" t="s">
        <v>841</v>
      </c>
      <c r="G157" s="6" t="s">
        <v>842</v>
      </c>
      <c r="H157" s="6" t="s">
        <v>58</v>
      </c>
      <c r="I157" s="5" t="s">
        <v>867</v>
      </c>
      <c r="J157" s="5" t="s">
        <v>845</v>
      </c>
      <c r="K157" s="5" t="s">
        <v>995</v>
      </c>
      <c r="L157" s="5" t="s">
        <v>892</v>
      </c>
      <c r="M157" s="5" t="s">
        <v>167</v>
      </c>
      <c r="N157" s="5" t="s">
        <v>918</v>
      </c>
      <c r="O157" s="7"/>
      <c r="P157" s="5"/>
      <c r="Q157" s="5"/>
      <c r="R157" s="5" t="s">
        <v>897</v>
      </c>
      <c r="S157" s="6"/>
      <c r="T157" s="19" t="s">
        <v>1198</v>
      </c>
      <c r="U157" s="19" t="s">
        <v>1201</v>
      </c>
      <c r="V157" s="19" t="s">
        <v>424</v>
      </c>
      <c r="W157" s="19" t="s">
        <v>645</v>
      </c>
      <c r="X157" s="19" t="s">
        <v>1323</v>
      </c>
      <c r="Y157" s="19" t="s">
        <v>1345</v>
      </c>
    </row>
    <row r="158" spans="1:25" s="8" customFormat="1" ht="27" customHeight="1" x14ac:dyDescent="0.45">
      <c r="A158" s="4" t="s">
        <v>643</v>
      </c>
      <c r="B158" s="5" t="s">
        <v>413</v>
      </c>
      <c r="C158" s="5" t="s">
        <v>1194</v>
      </c>
      <c r="D158" s="5" t="s">
        <v>681</v>
      </c>
      <c r="E158" s="5" t="s">
        <v>1205</v>
      </c>
      <c r="F158" s="6" t="s">
        <v>841</v>
      </c>
      <c r="G158" s="6" t="s">
        <v>842</v>
      </c>
      <c r="H158" s="6" t="s">
        <v>671</v>
      </c>
      <c r="I158" s="5" t="s">
        <v>867</v>
      </c>
      <c r="J158" s="5" t="s">
        <v>877</v>
      </c>
      <c r="K158" s="5" t="s">
        <v>845</v>
      </c>
      <c r="L158" s="5" t="s">
        <v>879</v>
      </c>
      <c r="M158" s="5" t="s">
        <v>215</v>
      </c>
      <c r="N158" s="5" t="s">
        <v>918</v>
      </c>
      <c r="O158" s="7"/>
      <c r="P158" s="5"/>
      <c r="Q158" s="5"/>
      <c r="R158" s="5" t="s">
        <v>853</v>
      </c>
      <c r="S158" s="6"/>
      <c r="T158" s="19" t="s">
        <v>1198</v>
      </c>
      <c r="U158" s="19" t="s">
        <v>1199</v>
      </c>
      <c r="V158" s="19" t="s">
        <v>420</v>
      </c>
      <c r="W158" s="19" t="s">
        <v>682</v>
      </c>
      <c r="X158" s="19" t="s">
        <v>1323</v>
      </c>
      <c r="Y158" s="19" t="s">
        <v>1345</v>
      </c>
    </row>
    <row r="159" spans="1:25" s="8" customFormat="1" ht="27" customHeight="1" x14ac:dyDescent="0.45">
      <c r="A159" s="4" t="s">
        <v>680</v>
      </c>
      <c r="B159" s="5" t="s">
        <v>413</v>
      </c>
      <c r="C159" s="5" t="s">
        <v>1194</v>
      </c>
      <c r="D159" s="5" t="s">
        <v>684</v>
      </c>
      <c r="E159" s="5" t="s">
        <v>1206</v>
      </c>
      <c r="F159" s="6" t="s">
        <v>841</v>
      </c>
      <c r="G159" s="6" t="s">
        <v>842</v>
      </c>
      <c r="H159" s="6" t="s">
        <v>671</v>
      </c>
      <c r="I159" s="5" t="s">
        <v>859</v>
      </c>
      <c r="J159" s="5" t="s">
        <v>845</v>
      </c>
      <c r="K159" s="5" t="s">
        <v>1117</v>
      </c>
      <c r="L159" s="5" t="s">
        <v>852</v>
      </c>
      <c r="M159" s="5" t="s">
        <v>215</v>
      </c>
      <c r="N159" s="5" t="s">
        <v>1013</v>
      </c>
      <c r="O159" s="7"/>
      <c r="P159" s="5"/>
      <c r="Q159" s="5"/>
      <c r="R159" s="5" t="s">
        <v>853</v>
      </c>
      <c r="S159" s="6"/>
      <c r="T159" s="19" t="s">
        <v>1061</v>
      </c>
      <c r="U159" s="19" t="s">
        <v>1110</v>
      </c>
      <c r="V159" s="19" t="s">
        <v>579</v>
      </c>
      <c r="W159" s="19" t="s">
        <v>685</v>
      </c>
      <c r="X159" s="19" t="s">
        <v>1324</v>
      </c>
      <c r="Y159" s="19" t="s">
        <v>1345</v>
      </c>
    </row>
    <row r="160" spans="1:25" s="8" customFormat="1" ht="27" customHeight="1" x14ac:dyDescent="0.45">
      <c r="A160" s="4" t="s">
        <v>683</v>
      </c>
      <c r="B160" s="5" t="s">
        <v>413</v>
      </c>
      <c r="C160" s="5" t="s">
        <v>1194</v>
      </c>
      <c r="D160" s="5" t="s">
        <v>647</v>
      </c>
      <c r="E160" s="5" t="s">
        <v>1207</v>
      </c>
      <c r="F160" s="6" t="s">
        <v>841</v>
      </c>
      <c r="G160" s="6" t="s">
        <v>842</v>
      </c>
      <c r="H160" s="6" t="s">
        <v>58</v>
      </c>
      <c r="I160" s="5" t="s">
        <v>843</v>
      </c>
      <c r="J160" s="5" t="s">
        <v>845</v>
      </c>
      <c r="K160" s="5" t="s">
        <v>925</v>
      </c>
      <c r="L160" s="5" t="s">
        <v>846</v>
      </c>
      <c r="M160" s="5" t="s">
        <v>167</v>
      </c>
      <c r="N160" s="5" t="s">
        <v>924</v>
      </c>
      <c r="O160" s="7"/>
      <c r="P160" s="5"/>
      <c r="Q160" s="5"/>
      <c r="R160" s="5" t="s">
        <v>853</v>
      </c>
      <c r="S160" s="6"/>
      <c r="T160" s="19" t="s">
        <v>1061</v>
      </c>
      <c r="U160" s="19" t="s">
        <v>1110</v>
      </c>
      <c r="V160" s="19" t="s">
        <v>579</v>
      </c>
      <c r="W160" s="19" t="s">
        <v>648</v>
      </c>
      <c r="X160" s="19" t="s">
        <v>1324</v>
      </c>
      <c r="Y160" s="19" t="s">
        <v>1345</v>
      </c>
    </row>
    <row r="161" spans="1:25" s="8" customFormat="1" ht="27" customHeight="1" x14ac:dyDescent="0.45">
      <c r="A161" s="4" t="s">
        <v>646</v>
      </c>
      <c r="B161" s="5" t="s">
        <v>413</v>
      </c>
      <c r="C161" s="5" t="s">
        <v>1194</v>
      </c>
      <c r="D161" s="5" t="s">
        <v>650</v>
      </c>
      <c r="E161" s="5" t="s">
        <v>1208</v>
      </c>
      <c r="F161" s="6" t="s">
        <v>841</v>
      </c>
      <c r="G161" s="6" t="s">
        <v>842</v>
      </c>
      <c r="H161" s="6" t="s">
        <v>58</v>
      </c>
      <c r="I161" s="5" t="s">
        <v>859</v>
      </c>
      <c r="J161" s="5" t="s">
        <v>845</v>
      </c>
      <c r="K161" s="5" t="s">
        <v>1209</v>
      </c>
      <c r="L161" s="5" t="s">
        <v>852</v>
      </c>
      <c r="M161" s="5" t="s">
        <v>167</v>
      </c>
      <c r="N161" s="5" t="s">
        <v>919</v>
      </c>
      <c r="O161" s="7"/>
      <c r="P161" s="5"/>
      <c r="Q161" s="5"/>
      <c r="R161" s="5" t="s">
        <v>853</v>
      </c>
      <c r="S161" s="6"/>
      <c r="T161" s="19" t="s">
        <v>1061</v>
      </c>
      <c r="U161" s="19" t="s">
        <v>1110</v>
      </c>
      <c r="V161" s="19" t="s">
        <v>579</v>
      </c>
      <c r="W161" s="19" t="s">
        <v>651</v>
      </c>
      <c r="X161" s="19" t="s">
        <v>1324</v>
      </c>
      <c r="Y161" s="19" t="s">
        <v>1345</v>
      </c>
    </row>
    <row r="162" spans="1:25" s="8" customFormat="1" ht="27" customHeight="1" x14ac:dyDescent="0.45">
      <c r="A162" s="4" t="s">
        <v>649</v>
      </c>
      <c r="B162" s="5" t="s">
        <v>413</v>
      </c>
      <c r="C162" s="5" t="s">
        <v>1194</v>
      </c>
      <c r="D162" s="5" t="s">
        <v>427</v>
      </c>
      <c r="E162" s="5" t="s">
        <v>1210</v>
      </c>
      <c r="F162" s="6" t="s">
        <v>841</v>
      </c>
      <c r="G162" s="6" t="s">
        <v>842</v>
      </c>
      <c r="H162" s="6" t="s">
        <v>23</v>
      </c>
      <c r="I162" s="5" t="s">
        <v>859</v>
      </c>
      <c r="J162" s="5" t="s">
        <v>925</v>
      </c>
      <c r="K162" s="5" t="s">
        <v>845</v>
      </c>
      <c r="L162" s="5" t="s">
        <v>852</v>
      </c>
      <c r="M162" s="5" t="s">
        <v>215</v>
      </c>
      <c r="N162" s="5" t="s">
        <v>1132</v>
      </c>
      <c r="O162" s="7"/>
      <c r="P162" s="5"/>
      <c r="Q162" s="5"/>
      <c r="R162" s="5" t="s">
        <v>853</v>
      </c>
      <c r="S162" s="6"/>
      <c r="T162" s="19" t="s">
        <v>1061</v>
      </c>
      <c r="U162" s="19" t="s">
        <v>1097</v>
      </c>
      <c r="V162" s="19" t="s">
        <v>344</v>
      </c>
      <c r="W162" s="19" t="s">
        <v>428</v>
      </c>
      <c r="X162" s="19" t="s">
        <v>1324</v>
      </c>
      <c r="Y162" s="19" t="s">
        <v>1345</v>
      </c>
    </row>
    <row r="163" spans="1:25" s="8" customFormat="1" ht="27" customHeight="1" x14ac:dyDescent="0.45">
      <c r="A163" s="4" t="s">
        <v>426</v>
      </c>
      <c r="B163" s="5" t="s">
        <v>413</v>
      </c>
      <c r="C163" s="5" t="s">
        <v>1194</v>
      </c>
      <c r="D163" s="5" t="s">
        <v>653</v>
      </c>
      <c r="E163" s="5" t="s">
        <v>1211</v>
      </c>
      <c r="F163" s="6" t="s">
        <v>841</v>
      </c>
      <c r="G163" s="6" t="s">
        <v>842</v>
      </c>
      <c r="H163" s="6" t="s">
        <v>58</v>
      </c>
      <c r="I163" s="5" t="s">
        <v>859</v>
      </c>
      <c r="J163" s="5" t="s">
        <v>925</v>
      </c>
      <c r="K163" s="5" t="s">
        <v>1209</v>
      </c>
      <c r="L163" s="5" t="s">
        <v>852</v>
      </c>
      <c r="M163" s="5" t="s">
        <v>215</v>
      </c>
      <c r="N163" s="5" t="s">
        <v>847</v>
      </c>
      <c r="O163" s="7"/>
      <c r="P163" s="5"/>
      <c r="Q163" s="5"/>
      <c r="R163" s="5" t="s">
        <v>853</v>
      </c>
      <c r="S163" s="6"/>
      <c r="T163" s="19" t="s">
        <v>1061</v>
      </c>
      <c r="U163" s="19" t="s">
        <v>1097</v>
      </c>
      <c r="V163" s="19" t="s">
        <v>344</v>
      </c>
      <c r="W163" s="19" t="s">
        <v>654</v>
      </c>
      <c r="X163" s="19" t="s">
        <v>1324</v>
      </c>
      <c r="Y163" s="19" t="s">
        <v>1345</v>
      </c>
    </row>
    <row r="164" spans="1:25" s="8" customFormat="1" ht="27" customHeight="1" x14ac:dyDescent="0.45">
      <c r="A164" s="4" t="s">
        <v>652</v>
      </c>
      <c r="B164" s="5" t="s">
        <v>413</v>
      </c>
      <c r="C164" s="5" t="s">
        <v>1194</v>
      </c>
      <c r="D164" s="5" t="s">
        <v>655</v>
      </c>
      <c r="E164" s="5" t="s">
        <v>1212</v>
      </c>
      <c r="F164" s="6" t="s">
        <v>841</v>
      </c>
      <c r="G164" s="6" t="s">
        <v>842</v>
      </c>
      <c r="H164" s="6" t="s">
        <v>58</v>
      </c>
      <c r="I164" s="5" t="s">
        <v>859</v>
      </c>
      <c r="J164" s="5" t="s">
        <v>845</v>
      </c>
      <c r="K164" s="5" t="s">
        <v>1213</v>
      </c>
      <c r="L164" s="5" t="s">
        <v>852</v>
      </c>
      <c r="M164" s="5" t="s">
        <v>215</v>
      </c>
      <c r="N164" s="5" t="s">
        <v>1214</v>
      </c>
      <c r="O164" s="7"/>
      <c r="P164" s="5"/>
      <c r="Q164" s="5"/>
      <c r="R164" s="5" t="s">
        <v>853</v>
      </c>
      <c r="S164" s="6"/>
      <c r="T164" s="19" t="s">
        <v>1061</v>
      </c>
      <c r="U164" s="19" t="s">
        <v>1097</v>
      </c>
      <c r="V164" s="19" t="s">
        <v>344</v>
      </c>
      <c r="W164" s="19" t="s">
        <v>656</v>
      </c>
      <c r="X164" s="19" t="s">
        <v>1324</v>
      </c>
      <c r="Y164" s="19" t="s">
        <v>1345</v>
      </c>
    </row>
    <row r="165" spans="1:25" s="8" customFormat="1" ht="27" customHeight="1" x14ac:dyDescent="0.45">
      <c r="A165" s="4" t="s">
        <v>429</v>
      </c>
      <c r="B165" s="5" t="s">
        <v>431</v>
      </c>
      <c r="C165" s="5" t="s">
        <v>1215</v>
      </c>
      <c r="D165" s="5" t="s">
        <v>430</v>
      </c>
      <c r="E165" s="5" t="s">
        <v>1216</v>
      </c>
      <c r="F165" s="6" t="s">
        <v>841</v>
      </c>
      <c r="G165" s="6" t="s">
        <v>842</v>
      </c>
      <c r="H165" s="6" t="s">
        <v>23</v>
      </c>
      <c r="I165" s="5" t="s">
        <v>867</v>
      </c>
      <c r="J165" s="5" t="s">
        <v>845</v>
      </c>
      <c r="K165" s="5" t="s">
        <v>1217</v>
      </c>
      <c r="L165" s="5" t="s">
        <v>879</v>
      </c>
      <c r="M165" s="5" t="s">
        <v>215</v>
      </c>
      <c r="N165" s="5" t="s">
        <v>847</v>
      </c>
      <c r="O165" s="7"/>
      <c r="P165" s="5"/>
      <c r="Q165" s="5"/>
      <c r="R165" s="5" t="s">
        <v>848</v>
      </c>
      <c r="S165" s="6"/>
      <c r="T165" s="19" t="s">
        <v>1218</v>
      </c>
      <c r="U165" s="19" t="s">
        <v>1219</v>
      </c>
      <c r="V165" s="19" t="s">
        <v>433</v>
      </c>
      <c r="W165" s="19" t="s">
        <v>434</v>
      </c>
      <c r="X165" s="19" t="s">
        <v>1326</v>
      </c>
      <c r="Y165" s="19" t="s">
        <v>1345</v>
      </c>
    </row>
    <row r="166" spans="1:25" s="8" customFormat="1" ht="27" customHeight="1" x14ac:dyDescent="0.45">
      <c r="A166" s="4" t="s">
        <v>435</v>
      </c>
      <c r="B166" s="5" t="s">
        <v>431</v>
      </c>
      <c r="C166" s="5" t="s">
        <v>1215</v>
      </c>
      <c r="D166" s="5" t="s">
        <v>436</v>
      </c>
      <c r="E166" s="5" t="s">
        <v>1353</v>
      </c>
      <c r="F166" s="6" t="s">
        <v>841</v>
      </c>
      <c r="G166" s="6" t="s">
        <v>842</v>
      </c>
      <c r="H166" s="6" t="s">
        <v>23</v>
      </c>
      <c r="I166" s="5" t="s">
        <v>867</v>
      </c>
      <c r="J166" s="5" t="s">
        <v>877</v>
      </c>
      <c r="K166" s="5" t="s">
        <v>1220</v>
      </c>
      <c r="L166" s="5" t="s">
        <v>879</v>
      </c>
      <c r="M166" s="5" t="s">
        <v>437</v>
      </c>
      <c r="N166" s="5" t="s">
        <v>847</v>
      </c>
      <c r="O166" s="7"/>
      <c r="P166" s="5"/>
      <c r="Q166" s="5"/>
      <c r="R166" s="5" t="s">
        <v>853</v>
      </c>
      <c r="S166" s="6"/>
      <c r="T166" s="19" t="s">
        <v>1218</v>
      </c>
      <c r="U166" s="19" t="s">
        <v>1221</v>
      </c>
      <c r="V166" s="19" t="s">
        <v>439</v>
      </c>
      <c r="W166" s="19" t="s">
        <v>440</v>
      </c>
      <c r="X166" s="19" t="s">
        <v>1326</v>
      </c>
      <c r="Y166" s="19" t="s">
        <v>1345</v>
      </c>
    </row>
    <row r="167" spans="1:25" s="8" customFormat="1" ht="27" customHeight="1" x14ac:dyDescent="0.45">
      <c r="A167" s="4" t="s">
        <v>441</v>
      </c>
      <c r="B167" s="5" t="s">
        <v>431</v>
      </c>
      <c r="C167" s="5" t="s">
        <v>1215</v>
      </c>
      <c r="D167" s="5" t="s">
        <v>442</v>
      </c>
      <c r="E167" s="5" t="s">
        <v>1222</v>
      </c>
      <c r="F167" s="6" t="s">
        <v>841</v>
      </c>
      <c r="G167" s="6" t="s">
        <v>842</v>
      </c>
      <c r="H167" s="6" t="s">
        <v>23</v>
      </c>
      <c r="I167" s="5" t="s">
        <v>859</v>
      </c>
      <c r="J167" s="5" t="s">
        <v>845</v>
      </c>
      <c r="K167" s="5" t="s">
        <v>1223</v>
      </c>
      <c r="L167" s="5" t="s">
        <v>852</v>
      </c>
      <c r="M167" s="5" t="s">
        <v>437</v>
      </c>
      <c r="N167" s="5" t="s">
        <v>847</v>
      </c>
      <c r="O167" s="7"/>
      <c r="P167" s="5"/>
      <c r="Q167" s="5"/>
      <c r="R167" s="5" t="s">
        <v>853</v>
      </c>
      <c r="S167" s="6"/>
      <c r="T167" s="19" t="s">
        <v>1218</v>
      </c>
      <c r="U167" s="19" t="s">
        <v>1221</v>
      </c>
      <c r="V167" s="19" t="s">
        <v>439</v>
      </c>
      <c r="W167" s="19" t="s">
        <v>443</v>
      </c>
      <c r="X167" s="19" t="s">
        <v>1326</v>
      </c>
      <c r="Y167" s="19" t="s">
        <v>1345</v>
      </c>
    </row>
    <row r="168" spans="1:25" s="8" customFormat="1" ht="27" customHeight="1" x14ac:dyDescent="0.45">
      <c r="A168" s="4" t="s">
        <v>444</v>
      </c>
      <c r="B168" s="5" t="s">
        <v>431</v>
      </c>
      <c r="C168" s="5" t="s">
        <v>1215</v>
      </c>
      <c r="D168" s="5" t="s">
        <v>445</v>
      </c>
      <c r="E168" s="5" t="s">
        <v>1224</v>
      </c>
      <c r="F168" s="6" t="s">
        <v>841</v>
      </c>
      <c r="G168" s="6" t="s">
        <v>842</v>
      </c>
      <c r="H168" s="6" t="s">
        <v>23</v>
      </c>
      <c r="I168" s="5" t="s">
        <v>859</v>
      </c>
      <c r="J168" s="5" t="s">
        <v>905</v>
      </c>
      <c r="K168" s="5" t="s">
        <v>1173</v>
      </c>
      <c r="L168" s="5" t="s">
        <v>852</v>
      </c>
      <c r="M168" s="5" t="s">
        <v>167</v>
      </c>
      <c r="N168" s="5" t="s">
        <v>1018</v>
      </c>
      <c r="O168" s="7"/>
      <c r="P168" s="5"/>
      <c r="Q168" s="5"/>
      <c r="R168" s="5" t="s">
        <v>853</v>
      </c>
      <c r="S168" s="6"/>
      <c r="T168" s="19" t="s">
        <v>1218</v>
      </c>
      <c r="U168" s="19" t="s">
        <v>1225</v>
      </c>
      <c r="V168" s="19" t="s">
        <v>447</v>
      </c>
      <c r="W168" s="19" t="s">
        <v>448</v>
      </c>
      <c r="X168" s="19" t="s">
        <v>905</v>
      </c>
      <c r="Y168" s="19" t="s">
        <v>1345</v>
      </c>
    </row>
    <row r="169" spans="1:25" s="8" customFormat="1" ht="27" customHeight="1" x14ac:dyDescent="0.45">
      <c r="A169" s="4" t="s">
        <v>449</v>
      </c>
      <c r="B169" s="5" t="s">
        <v>431</v>
      </c>
      <c r="C169" s="5" t="s">
        <v>1215</v>
      </c>
      <c r="D169" s="5" t="s">
        <v>450</v>
      </c>
      <c r="E169" s="5" t="s">
        <v>1226</v>
      </c>
      <c r="F169" s="6" t="s">
        <v>841</v>
      </c>
      <c r="G169" s="6" t="s">
        <v>842</v>
      </c>
      <c r="H169" s="6" t="s">
        <v>23</v>
      </c>
      <c r="I169" s="5" t="s">
        <v>859</v>
      </c>
      <c r="J169" s="5" t="s">
        <v>905</v>
      </c>
      <c r="K169" s="5" t="s">
        <v>1227</v>
      </c>
      <c r="L169" s="5" t="s">
        <v>852</v>
      </c>
      <c r="M169" s="5" t="s">
        <v>215</v>
      </c>
      <c r="N169" s="5" t="s">
        <v>1018</v>
      </c>
      <c r="O169" s="7"/>
      <c r="P169" s="5"/>
      <c r="Q169" s="5"/>
      <c r="R169" s="5" t="s">
        <v>853</v>
      </c>
      <c r="S169" s="6"/>
      <c r="T169" s="19" t="s">
        <v>1218</v>
      </c>
      <c r="U169" s="19" t="s">
        <v>1225</v>
      </c>
      <c r="V169" s="19" t="s">
        <v>447</v>
      </c>
      <c r="W169" s="19" t="s">
        <v>451</v>
      </c>
      <c r="X169" s="19" t="s">
        <v>905</v>
      </c>
      <c r="Y169" s="19" t="s">
        <v>1345</v>
      </c>
    </row>
    <row r="170" spans="1:25" s="8" customFormat="1" ht="27" customHeight="1" x14ac:dyDescent="0.45">
      <c r="A170" s="4" t="s">
        <v>452</v>
      </c>
      <c r="B170" s="5" t="s">
        <v>431</v>
      </c>
      <c r="C170" s="5" t="s">
        <v>1215</v>
      </c>
      <c r="D170" s="5" t="s">
        <v>453</v>
      </c>
      <c r="E170" s="5" t="s">
        <v>1228</v>
      </c>
      <c r="F170" s="6" t="s">
        <v>841</v>
      </c>
      <c r="G170" s="6" t="s">
        <v>842</v>
      </c>
      <c r="H170" s="6" t="s">
        <v>23</v>
      </c>
      <c r="I170" s="5" t="s">
        <v>867</v>
      </c>
      <c r="J170" s="5" t="s">
        <v>845</v>
      </c>
      <c r="K170" s="5" t="s">
        <v>1229</v>
      </c>
      <c r="L170" s="5" t="s">
        <v>892</v>
      </c>
      <c r="M170" s="5" t="s">
        <v>437</v>
      </c>
      <c r="N170" s="5" t="s">
        <v>919</v>
      </c>
      <c r="O170" s="7"/>
      <c r="P170" s="5"/>
      <c r="Q170" s="5"/>
      <c r="R170" s="5" t="s">
        <v>853</v>
      </c>
      <c r="S170" s="6"/>
      <c r="T170" s="19" t="s">
        <v>1218</v>
      </c>
      <c r="U170" s="19" t="s">
        <v>1230</v>
      </c>
      <c r="V170" s="19" t="s">
        <v>455</v>
      </c>
      <c r="W170" s="19" t="s">
        <v>456</v>
      </c>
      <c r="X170" s="19" t="s">
        <v>1323</v>
      </c>
      <c r="Y170" s="19" t="s">
        <v>1345</v>
      </c>
    </row>
    <row r="171" spans="1:25" s="8" customFormat="1" ht="27" customHeight="1" x14ac:dyDescent="0.45">
      <c r="A171" s="4" t="s">
        <v>457</v>
      </c>
      <c r="B171" s="5" t="s">
        <v>431</v>
      </c>
      <c r="C171" s="5" t="s">
        <v>1215</v>
      </c>
      <c r="D171" s="5" t="s">
        <v>458</v>
      </c>
      <c r="E171" s="5" t="s">
        <v>1231</v>
      </c>
      <c r="F171" s="6" t="s">
        <v>841</v>
      </c>
      <c r="G171" s="6" t="s">
        <v>842</v>
      </c>
      <c r="H171" s="6" t="s">
        <v>23</v>
      </c>
      <c r="I171" s="5" t="s">
        <v>843</v>
      </c>
      <c r="J171" s="5" t="s">
        <v>845</v>
      </c>
      <c r="K171" s="5" t="s">
        <v>868</v>
      </c>
      <c r="L171" s="5" t="s">
        <v>846</v>
      </c>
      <c r="M171" s="5" t="s">
        <v>437</v>
      </c>
      <c r="N171" s="5" t="s">
        <v>919</v>
      </c>
      <c r="O171" s="7"/>
      <c r="P171" s="5"/>
      <c r="Q171" s="5"/>
      <c r="R171" s="5" t="s">
        <v>853</v>
      </c>
      <c r="S171" s="6"/>
      <c r="T171" s="19" t="s">
        <v>1218</v>
      </c>
      <c r="U171" s="19" t="s">
        <v>1219</v>
      </c>
      <c r="V171" s="19" t="s">
        <v>433</v>
      </c>
      <c r="W171" s="19" t="s">
        <v>459</v>
      </c>
      <c r="X171" s="19" t="s">
        <v>1326</v>
      </c>
      <c r="Y171" s="19" t="s">
        <v>1345</v>
      </c>
    </row>
    <row r="172" spans="1:25" s="8" customFormat="1" ht="27" customHeight="1" x14ac:dyDescent="0.45">
      <c r="A172" s="4" t="s">
        <v>460</v>
      </c>
      <c r="B172" s="5" t="s">
        <v>431</v>
      </c>
      <c r="C172" s="5" t="s">
        <v>1215</v>
      </c>
      <c r="D172" s="5" t="s">
        <v>461</v>
      </c>
      <c r="E172" s="5" t="s">
        <v>1232</v>
      </c>
      <c r="F172" s="6" t="s">
        <v>841</v>
      </c>
      <c r="G172" s="6" t="s">
        <v>842</v>
      </c>
      <c r="H172" s="6" t="s">
        <v>23</v>
      </c>
      <c r="I172" s="5" t="s">
        <v>867</v>
      </c>
      <c r="J172" s="5" t="s">
        <v>905</v>
      </c>
      <c r="K172" s="5" t="s">
        <v>1129</v>
      </c>
      <c r="L172" s="5" t="s">
        <v>879</v>
      </c>
      <c r="M172" s="5" t="s">
        <v>437</v>
      </c>
      <c r="N172" s="5" t="s">
        <v>919</v>
      </c>
      <c r="O172" s="7"/>
      <c r="P172" s="5"/>
      <c r="Q172" s="5"/>
      <c r="R172" s="5" t="s">
        <v>853</v>
      </c>
      <c r="S172" s="6"/>
      <c r="T172" s="19" t="s">
        <v>1218</v>
      </c>
      <c r="U172" s="19" t="s">
        <v>1230</v>
      </c>
      <c r="V172" s="19" t="s">
        <v>455</v>
      </c>
      <c r="W172" s="19" t="s">
        <v>462</v>
      </c>
      <c r="X172" s="19" t="s">
        <v>1323</v>
      </c>
      <c r="Y172" s="19" t="s">
        <v>1345</v>
      </c>
    </row>
    <row r="173" spans="1:25" s="8" customFormat="1" ht="27" customHeight="1" x14ac:dyDescent="0.45">
      <c r="A173" s="4" t="s">
        <v>657</v>
      </c>
      <c r="B173" s="5" t="s">
        <v>431</v>
      </c>
      <c r="C173" s="5" t="s">
        <v>1215</v>
      </c>
      <c r="D173" s="5" t="s">
        <v>658</v>
      </c>
      <c r="E173" s="5" t="s">
        <v>1233</v>
      </c>
      <c r="F173" s="6" t="s">
        <v>841</v>
      </c>
      <c r="G173" s="6" t="s">
        <v>842</v>
      </c>
      <c r="H173" s="6" t="s">
        <v>58</v>
      </c>
      <c r="I173" s="5" t="s">
        <v>867</v>
      </c>
      <c r="J173" s="5" t="s">
        <v>905</v>
      </c>
      <c r="K173" s="5" t="s">
        <v>1234</v>
      </c>
      <c r="L173" s="5" t="s">
        <v>879</v>
      </c>
      <c r="M173" s="5" t="s">
        <v>215</v>
      </c>
      <c r="N173" s="5" t="s">
        <v>919</v>
      </c>
      <c r="O173" s="7"/>
      <c r="P173" s="5"/>
      <c r="Q173" s="5"/>
      <c r="R173" s="5" t="s">
        <v>853</v>
      </c>
      <c r="S173" s="6"/>
      <c r="T173" s="19" t="s">
        <v>1218</v>
      </c>
      <c r="U173" s="19" t="s">
        <v>1230</v>
      </c>
      <c r="V173" s="19" t="s">
        <v>455</v>
      </c>
      <c r="W173" s="19" t="s">
        <v>659</v>
      </c>
      <c r="X173" s="19" t="s">
        <v>1323</v>
      </c>
      <c r="Y173" s="19" t="s">
        <v>1345</v>
      </c>
    </row>
    <row r="174" spans="1:25" s="8" customFormat="1" ht="27" customHeight="1" x14ac:dyDescent="0.45">
      <c r="A174" s="4" t="s">
        <v>463</v>
      </c>
      <c r="B174" s="5" t="s">
        <v>431</v>
      </c>
      <c r="C174" s="5" t="s">
        <v>1215</v>
      </c>
      <c r="D174" s="5" t="s">
        <v>464</v>
      </c>
      <c r="E174" s="5" t="s">
        <v>1235</v>
      </c>
      <c r="F174" s="6" t="s">
        <v>841</v>
      </c>
      <c r="G174" s="6" t="s">
        <v>842</v>
      </c>
      <c r="H174" s="6" t="s">
        <v>23</v>
      </c>
      <c r="I174" s="5" t="s">
        <v>867</v>
      </c>
      <c r="J174" s="5" t="s">
        <v>877</v>
      </c>
      <c r="K174" s="5" t="s">
        <v>921</v>
      </c>
      <c r="L174" s="5" t="s">
        <v>879</v>
      </c>
      <c r="M174" s="5" t="s">
        <v>437</v>
      </c>
      <c r="N174" s="5" t="s">
        <v>847</v>
      </c>
      <c r="O174" s="7"/>
      <c r="P174" s="5"/>
      <c r="Q174" s="5"/>
      <c r="R174" s="5" t="s">
        <v>853</v>
      </c>
      <c r="S174" s="6"/>
      <c r="T174" s="19" t="s">
        <v>1218</v>
      </c>
      <c r="U174" s="19" t="s">
        <v>1221</v>
      </c>
      <c r="V174" s="19" t="s">
        <v>439</v>
      </c>
      <c r="W174" s="19" t="s">
        <v>465</v>
      </c>
      <c r="X174" s="19" t="s">
        <v>1326</v>
      </c>
      <c r="Y174" s="19" t="s">
        <v>1345</v>
      </c>
    </row>
    <row r="175" spans="1:25" s="8" customFormat="1" ht="27" customHeight="1" x14ac:dyDescent="0.45">
      <c r="A175" s="4" t="s">
        <v>660</v>
      </c>
      <c r="B175" s="5" t="s">
        <v>431</v>
      </c>
      <c r="C175" s="5" t="s">
        <v>1215</v>
      </c>
      <c r="D175" s="5" t="s">
        <v>661</v>
      </c>
      <c r="E175" s="5" t="s">
        <v>1236</v>
      </c>
      <c r="F175" s="6" t="s">
        <v>841</v>
      </c>
      <c r="G175" s="6" t="s">
        <v>842</v>
      </c>
      <c r="H175" s="6" t="s">
        <v>58</v>
      </c>
      <c r="I175" s="5" t="s">
        <v>859</v>
      </c>
      <c r="J175" s="5" t="s">
        <v>845</v>
      </c>
      <c r="K175" s="5" t="s">
        <v>1031</v>
      </c>
      <c r="L175" s="5" t="s">
        <v>852</v>
      </c>
      <c r="M175" s="5" t="s">
        <v>437</v>
      </c>
      <c r="N175" s="5" t="s">
        <v>1237</v>
      </c>
      <c r="O175" s="7"/>
      <c r="P175" s="5"/>
      <c r="Q175" s="5"/>
      <c r="R175" s="5" t="s">
        <v>853</v>
      </c>
      <c r="S175" s="6"/>
      <c r="T175" s="19" t="s">
        <v>1218</v>
      </c>
      <c r="U175" s="19" t="s">
        <v>1221</v>
      </c>
      <c r="V175" s="19" t="s">
        <v>439</v>
      </c>
      <c r="W175" s="19" t="s">
        <v>662</v>
      </c>
      <c r="X175" s="19" t="s">
        <v>1326</v>
      </c>
      <c r="Y175" s="19" t="s">
        <v>1345</v>
      </c>
    </row>
    <row r="176" spans="1:25" s="8" customFormat="1" ht="27" customHeight="1" x14ac:dyDescent="0.45">
      <c r="A176" s="4" t="s">
        <v>663</v>
      </c>
      <c r="B176" s="5" t="s">
        <v>431</v>
      </c>
      <c r="C176" s="5" t="s">
        <v>1215</v>
      </c>
      <c r="D176" s="5" t="s">
        <v>664</v>
      </c>
      <c r="E176" s="5" t="s">
        <v>1238</v>
      </c>
      <c r="F176" s="6" t="s">
        <v>841</v>
      </c>
      <c r="G176" s="6" t="s">
        <v>842</v>
      </c>
      <c r="H176" s="6" t="s">
        <v>58</v>
      </c>
      <c r="I176" s="5" t="s">
        <v>843</v>
      </c>
      <c r="J176" s="5" t="s">
        <v>845</v>
      </c>
      <c r="K176" s="5" t="s">
        <v>1075</v>
      </c>
      <c r="L176" s="5" t="s">
        <v>852</v>
      </c>
      <c r="M176" s="5" t="s">
        <v>437</v>
      </c>
      <c r="N176" s="5" t="s">
        <v>1239</v>
      </c>
      <c r="O176" s="7"/>
      <c r="P176" s="5"/>
      <c r="Q176" s="5"/>
      <c r="R176" s="5" t="s">
        <v>848</v>
      </c>
      <c r="S176" s="6"/>
      <c r="T176" s="19" t="s">
        <v>1218</v>
      </c>
      <c r="U176" s="19" t="s">
        <v>1219</v>
      </c>
      <c r="V176" s="19" t="s">
        <v>433</v>
      </c>
      <c r="W176" s="19" t="s">
        <v>665</v>
      </c>
      <c r="X176" s="19" t="s">
        <v>1326</v>
      </c>
      <c r="Y176" s="19" t="s">
        <v>1345</v>
      </c>
    </row>
    <row r="177" spans="1:25" s="8" customFormat="1" ht="27" customHeight="1" x14ac:dyDescent="0.45">
      <c r="A177" s="4" t="s">
        <v>666</v>
      </c>
      <c r="B177" s="5" t="s">
        <v>431</v>
      </c>
      <c r="C177" s="5" t="s">
        <v>1215</v>
      </c>
      <c r="D177" s="5" t="s">
        <v>667</v>
      </c>
      <c r="E177" s="5" t="s">
        <v>1240</v>
      </c>
      <c r="F177" s="6" t="s">
        <v>841</v>
      </c>
      <c r="G177" s="6" t="s">
        <v>842</v>
      </c>
      <c r="H177" s="6" t="s">
        <v>58</v>
      </c>
      <c r="I177" s="5" t="s">
        <v>843</v>
      </c>
      <c r="J177" s="5" t="s">
        <v>851</v>
      </c>
      <c r="K177" s="5" t="s">
        <v>1241</v>
      </c>
      <c r="L177" s="5" t="s">
        <v>852</v>
      </c>
      <c r="M177" s="5" t="s">
        <v>437</v>
      </c>
      <c r="N177" s="5" t="s">
        <v>918</v>
      </c>
      <c r="O177" s="7"/>
      <c r="P177" s="5"/>
      <c r="Q177" s="5"/>
      <c r="R177" s="5" t="s">
        <v>853</v>
      </c>
      <c r="S177" s="6"/>
      <c r="T177" s="19" t="s">
        <v>1218</v>
      </c>
      <c r="U177" s="19" t="s">
        <v>1219</v>
      </c>
      <c r="V177" s="19" t="s">
        <v>433</v>
      </c>
      <c r="W177" s="19" t="s">
        <v>668</v>
      </c>
      <c r="X177" s="19" t="s">
        <v>1326</v>
      </c>
      <c r="Y177" s="19" t="s">
        <v>1345</v>
      </c>
    </row>
    <row r="178" spans="1:25" s="8" customFormat="1" ht="27" customHeight="1" x14ac:dyDescent="0.45">
      <c r="A178" s="4" t="s">
        <v>466</v>
      </c>
      <c r="B178" s="5" t="s">
        <v>431</v>
      </c>
      <c r="C178" s="5" t="s">
        <v>1215</v>
      </c>
      <c r="D178" s="5" t="s">
        <v>467</v>
      </c>
      <c r="E178" s="5" t="s">
        <v>1242</v>
      </c>
      <c r="F178" s="6" t="s">
        <v>841</v>
      </c>
      <c r="G178" s="6" t="s">
        <v>842</v>
      </c>
      <c r="H178" s="6" t="s">
        <v>23</v>
      </c>
      <c r="I178" s="5" t="s">
        <v>867</v>
      </c>
      <c r="J178" s="5" t="s">
        <v>877</v>
      </c>
      <c r="K178" s="5" t="s">
        <v>1243</v>
      </c>
      <c r="L178" s="5" t="s">
        <v>879</v>
      </c>
      <c r="M178" s="5" t="s">
        <v>1340</v>
      </c>
      <c r="N178" s="5" t="s">
        <v>1203</v>
      </c>
      <c r="O178" s="7"/>
      <c r="P178" s="5"/>
      <c r="Q178" s="5"/>
      <c r="R178" s="5" t="s">
        <v>853</v>
      </c>
      <c r="S178" s="6"/>
      <c r="T178" s="19" t="s">
        <v>1218</v>
      </c>
      <c r="U178" s="19" t="s">
        <v>1221</v>
      </c>
      <c r="V178" s="19" t="s">
        <v>439</v>
      </c>
      <c r="W178" s="19" t="s">
        <v>468</v>
      </c>
      <c r="X178" s="19" t="s">
        <v>1326</v>
      </c>
      <c r="Y178" s="19" t="s">
        <v>1345</v>
      </c>
    </row>
    <row r="179" spans="1:25" s="8" customFormat="1" ht="27" customHeight="1" x14ac:dyDescent="0.4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1:25" s="8" customFormat="1" ht="27" customHeight="1" x14ac:dyDescent="0.4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1:25" s="8" customFormat="1" ht="27" customHeight="1" x14ac:dyDescent="0.4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</row>
    <row r="182" spans="1:25" s="8" customFormat="1" ht="27" customHeight="1" x14ac:dyDescent="0.4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</row>
    <row r="183" spans="1:25" s="8" customFormat="1" ht="27" customHeight="1" x14ac:dyDescent="0.4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</row>
    <row r="184" spans="1:25" s="8" customFormat="1" ht="27" customHeight="1" x14ac:dyDescent="0.4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</row>
    <row r="185" spans="1:25" s="8" customFormat="1" ht="13.5" customHeight="1" x14ac:dyDescent="0.4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</row>
    <row r="186" spans="1:25" s="8" customFormat="1" ht="27" customHeight="1" x14ac:dyDescent="0.4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</row>
    <row r="187" spans="1:25" s="8" customFormat="1" ht="27" customHeight="1" x14ac:dyDescent="0.4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</row>
    <row r="188" spans="1:25" s="8" customFormat="1" ht="27" customHeight="1" x14ac:dyDescent="0.4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</row>
    <row r="189" spans="1:25" s="8" customFormat="1" ht="27" customHeight="1" x14ac:dyDescent="0.4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</row>
    <row r="190" spans="1:25" s="8" customFormat="1" ht="27" customHeight="1" x14ac:dyDescent="0.4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</row>
    <row r="191" spans="1:25" s="8" customFormat="1" ht="27" customHeight="1" x14ac:dyDescent="0.4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</row>
    <row r="192" spans="1:25" s="8" customFormat="1" ht="27" customHeight="1" x14ac:dyDescent="0.4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</row>
    <row r="193" spans="1:25" s="8" customFormat="1" ht="27" customHeight="1" x14ac:dyDescent="0.4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</row>
    <row r="194" spans="1:25" s="8" customFormat="1" ht="27" customHeight="1" x14ac:dyDescent="0.4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</row>
    <row r="195" spans="1:25" s="8" customFormat="1" ht="27" customHeight="1" x14ac:dyDescent="0.4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</row>
    <row r="196" spans="1:25" s="8" customFormat="1" ht="27" customHeight="1" x14ac:dyDescent="0.4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</row>
    <row r="197" spans="1:25" s="8" customFormat="1" ht="27" customHeight="1" x14ac:dyDescent="0.4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</row>
    <row r="198" spans="1:25" s="8" customFormat="1" ht="27" customHeight="1" x14ac:dyDescent="0.4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</row>
    <row r="199" spans="1:25" s="8" customFormat="1" ht="27" customHeight="1" x14ac:dyDescent="0.4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</row>
    <row r="200" spans="1:25" s="8" customFormat="1" ht="27" customHeight="1" x14ac:dyDescent="0.4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</row>
    <row r="201" spans="1:25" s="8" customFormat="1" ht="27" customHeight="1" x14ac:dyDescent="0.4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</row>
    <row r="202" spans="1:25" s="8" customFormat="1" ht="27" customHeight="1" x14ac:dyDescent="0.4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</row>
    <row r="203" spans="1:25" s="8" customFormat="1" ht="27" customHeight="1" x14ac:dyDescent="0.4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</row>
    <row r="204" spans="1:25" s="8" customFormat="1" ht="27" customHeight="1" x14ac:dyDescent="0.4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</row>
    <row r="205" spans="1:25" s="8" customFormat="1" ht="27" customHeight="1" x14ac:dyDescent="0.4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</row>
    <row r="206" spans="1:25" s="8" customFormat="1" ht="27" customHeight="1" x14ac:dyDescent="0.4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</row>
    <row r="207" spans="1:25" s="8" customFormat="1" ht="13.5" customHeight="1" x14ac:dyDescent="0.4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</row>
    <row r="208" spans="1:25" s="8" customFormat="1" ht="27" customHeight="1" x14ac:dyDescent="0.4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</row>
    <row r="209" spans="1:25" s="8" customFormat="1" ht="27" customHeight="1" x14ac:dyDescent="0.4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</row>
    <row r="210" spans="1:25" s="8" customFormat="1" ht="27" customHeight="1" x14ac:dyDescent="0.4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</row>
    <row r="211" spans="1:25" s="8" customFormat="1" ht="27" customHeight="1" x14ac:dyDescent="0.4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</row>
    <row r="212" spans="1:25" s="8" customFormat="1" ht="27" customHeight="1" x14ac:dyDescent="0.4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</row>
    <row r="213" spans="1:25" s="8" customFormat="1" ht="27" customHeight="1" x14ac:dyDescent="0.4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</row>
    <row r="214" spans="1:25" s="8" customFormat="1" ht="27" customHeight="1" x14ac:dyDescent="0.4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</row>
    <row r="215" spans="1:25" s="8" customFormat="1" ht="27" customHeight="1" x14ac:dyDescent="0.4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</row>
    <row r="216" spans="1:25" s="8" customFormat="1" ht="27" customHeight="1" x14ac:dyDescent="0.4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</row>
    <row r="217" spans="1:25" s="8" customFormat="1" ht="27" customHeight="1" x14ac:dyDescent="0.4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</row>
    <row r="218" spans="1:25" s="8" customFormat="1" ht="27" customHeight="1" x14ac:dyDescent="0.4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</row>
    <row r="219" spans="1:25" s="8" customFormat="1" ht="27" customHeight="1" x14ac:dyDescent="0.4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</row>
    <row r="220" spans="1:25" s="8" customFormat="1" ht="27" customHeight="1" x14ac:dyDescent="0.4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</row>
    <row r="221" spans="1:25" s="8" customFormat="1" ht="27" customHeight="1" x14ac:dyDescent="0.4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</row>
    <row r="222" spans="1:25" s="8" customFormat="1" ht="27" customHeight="1" x14ac:dyDescent="0.4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</row>
    <row r="223" spans="1:25" s="8" customFormat="1" ht="27" customHeight="1" x14ac:dyDescent="0.4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</row>
    <row r="224" spans="1:25" s="8" customFormat="1" ht="27" customHeight="1" x14ac:dyDescent="0.4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</row>
    <row r="225" spans="1:25" s="8" customFormat="1" ht="27" customHeight="1" x14ac:dyDescent="0.4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</row>
    <row r="226" spans="1:25" s="8" customFormat="1" ht="27" customHeight="1" x14ac:dyDescent="0.4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</row>
    <row r="227" spans="1:25" s="8" customFormat="1" ht="27" customHeight="1" x14ac:dyDescent="0.4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</row>
    <row r="228" spans="1:25" s="8" customFormat="1" ht="27" customHeight="1" x14ac:dyDescent="0.4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</row>
    <row r="229" spans="1:25" s="8" customFormat="1" ht="27" customHeight="1" x14ac:dyDescent="0.4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</row>
    <row r="230" spans="1:25" s="8" customFormat="1" ht="27" customHeight="1" x14ac:dyDescent="0.4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</row>
    <row r="231" spans="1:25" s="8" customFormat="1" ht="27" customHeight="1" x14ac:dyDescent="0.4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</row>
    <row r="232" spans="1:25" s="8" customFormat="1" ht="27" customHeight="1" x14ac:dyDescent="0.4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</row>
    <row r="233" spans="1:25" s="8" customFormat="1" ht="27" customHeight="1" x14ac:dyDescent="0.4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</row>
  </sheetData>
  <mergeCells count="1">
    <mergeCell ref="A1:S1"/>
  </mergeCells>
  <conditionalFormatting sqref="F4:F178">
    <cfRule type="containsText" dxfId="8" priority="2" operator="containsText" text="Yes">
      <formula>NOT(ISERROR(SEARCH("Yes",F4)))</formula>
    </cfRule>
    <cfRule type="containsText" dxfId="7" priority="3" operator="containsText" text="No">
      <formula>NOT(ISERROR(SEARCH("No",F4)))</formula>
    </cfRule>
    <cfRule type="containsText" dxfId="6" priority="4" operator="containsText" text="TBC">
      <formula>NOT(ISERROR(SEARCH("TBC",F4)))</formula>
    </cfRule>
  </conditionalFormatting>
  <conditionalFormatting sqref="G4:G178">
    <cfRule type="containsText" dxfId="5" priority="5" operator="containsText" text="Complete">
      <formula>NOT(ISERROR(SEARCH("Complete",G4)))</formula>
    </cfRule>
    <cfRule type="containsText" dxfId="4" priority="6" operator="containsText" text="In Progress">
      <formula>NOT(ISERROR(SEARCH("In Progress",G4)))</formula>
    </cfRule>
    <cfRule type="containsText" dxfId="3" priority="7" operator="containsText" text="Awaiting">
      <formula>NOT(ISERROR(SEARCH("Awaiting",G4)))</formula>
    </cfRule>
  </conditionalFormatting>
  <conditionalFormatting sqref="H4:H178">
    <cfRule type="containsText" dxfId="2" priority="8" operator="containsText" text="Critical">
      <formula>NOT(ISERROR(SEARCH("Critical",H4)))</formula>
    </cfRule>
    <cfRule type="containsText" dxfId="1" priority="9" operator="containsText" text="High">
      <formula>NOT(ISERROR(SEARCH("High",H4)))</formula>
    </cfRule>
  </conditionalFormatting>
  <conditionalFormatting sqref="O4:O178">
    <cfRule type="expression" dxfId="0" priority="10">
      <formula>AND($O4&lt;TODAY(),$O4&lt;&gt;"",$G4&lt;&gt;"Complete",$F4&lt;&gt;"No")</formula>
    </cfRule>
  </conditionalFormatting>
  <dataValidations count="4">
    <dataValidation type="list" sqref="F4:F178" xr:uid="{00000000-0002-0000-0500-000000000000}">
      <formula1>"TBC,Yes,No"</formula1>
      <formula2>0</formula2>
    </dataValidation>
    <dataValidation type="list" sqref="G4:G178" xr:uid="{00000000-0002-0000-0500-000001000000}">
      <formula1>"Not Started,In Progress,Awaiting Information,Awaiting Approval,Complete,Not Applicable,Superseded"</formula1>
      <formula2>0</formula2>
    </dataValidation>
    <dataValidation type="list" sqref="H4:H178" xr:uid="{00000000-0002-0000-0500-000002000000}">
      <formula1>"Critical,High,Medium,Low"</formula1>
      <formula2>0</formula2>
    </dataValidation>
    <dataValidation type="list" sqref="I4:I178" xr:uid="{00000000-0002-0000-0500-000003000000}">
      <formula1>"Tier 1 - Board / Client Visibility,Tier 2 - Commercial Review,Tier 3 - Internal Control"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8"/>
  <sheetViews>
    <sheetView showGridLines="0" zoomScale="190" zoomScaleNormal="190" workbookViewId="0">
      <selection activeCell="E13" sqref="E13"/>
    </sheetView>
  </sheetViews>
  <sheetFormatPr defaultColWidth="8.6640625" defaultRowHeight="14.25" x14ac:dyDescent="0.45"/>
  <cols>
    <col min="1" max="1" width="10" customWidth="1"/>
    <col min="2" max="2" width="42" customWidth="1"/>
    <col min="3" max="3" width="10" customWidth="1"/>
  </cols>
  <sheetData>
    <row r="1" spans="1:3" ht="18" x14ac:dyDescent="0.55000000000000004">
      <c r="A1" s="1" t="s">
        <v>1244</v>
      </c>
    </row>
    <row r="3" spans="1:3" s="17" customFormat="1" x14ac:dyDescent="0.45">
      <c r="A3" s="22" t="s">
        <v>692</v>
      </c>
      <c r="B3" s="22" t="s">
        <v>693</v>
      </c>
      <c r="C3" s="22" t="s">
        <v>696</v>
      </c>
    </row>
    <row r="4" spans="1:3" x14ac:dyDescent="0.45">
      <c r="A4" s="37" t="s">
        <v>697</v>
      </c>
      <c r="B4" s="13" t="s">
        <v>698</v>
      </c>
      <c r="C4" s="37">
        <f>COUNTIF('Master Register'!$T$4:$T$178,$A4&amp;" "&amp;$B4)</f>
        <v>19</v>
      </c>
    </row>
    <row r="5" spans="1:3" x14ac:dyDescent="0.45">
      <c r="A5" s="37" t="s">
        <v>706</v>
      </c>
      <c r="B5" s="13" t="s">
        <v>22</v>
      </c>
      <c r="C5" s="37">
        <f>COUNTIF('Master Register'!$T$4:$T$178,$A5&amp;" "&amp;$B5)</f>
        <v>11</v>
      </c>
    </row>
    <row r="6" spans="1:3" x14ac:dyDescent="0.45">
      <c r="A6" s="37" t="s">
        <v>713</v>
      </c>
      <c r="B6" s="13" t="s">
        <v>69</v>
      </c>
      <c r="C6" s="37">
        <f>COUNTIF('Master Register'!$T$4:$T$178,$A6&amp;" "&amp;$B6)</f>
        <v>14</v>
      </c>
    </row>
    <row r="7" spans="1:3" x14ac:dyDescent="0.45">
      <c r="A7" s="37" t="s">
        <v>726</v>
      </c>
      <c r="B7" s="13" t="s">
        <v>727</v>
      </c>
      <c r="C7" s="37">
        <f>COUNTIF('Master Register'!$T$4:$T$178,$A7&amp;" "&amp;$B7)</f>
        <v>33</v>
      </c>
    </row>
    <row r="8" spans="1:3" x14ac:dyDescent="0.45">
      <c r="A8" s="37" t="s">
        <v>746</v>
      </c>
      <c r="B8" s="13" t="s">
        <v>747</v>
      </c>
      <c r="C8" s="37">
        <f>COUNTIF('Master Register'!$T$4:$T$178,$A8&amp;" "&amp;$B8)</f>
        <v>28</v>
      </c>
    </row>
    <row r="9" spans="1:3" x14ac:dyDescent="0.45">
      <c r="A9" s="37" t="s">
        <v>760</v>
      </c>
      <c r="B9" s="13" t="s">
        <v>290</v>
      </c>
      <c r="C9" s="37">
        <f>COUNTIF('Master Register'!$T$4:$T$178,$A9&amp;" "&amp;$B9)</f>
        <v>9</v>
      </c>
    </row>
    <row r="10" spans="1:3" x14ac:dyDescent="0.45">
      <c r="A10" s="37" t="s">
        <v>769</v>
      </c>
      <c r="B10" s="13" t="s">
        <v>123</v>
      </c>
      <c r="C10" s="37">
        <f>COUNTIF('Master Register'!$T$4:$T$178,$A10&amp;" "&amp;$B10)</f>
        <v>5</v>
      </c>
    </row>
    <row r="11" spans="1:3" x14ac:dyDescent="0.45">
      <c r="A11" s="37" t="s">
        <v>776</v>
      </c>
      <c r="B11" s="13" t="s">
        <v>777</v>
      </c>
      <c r="C11" s="37">
        <f>COUNTIF('Master Register'!$T$4:$T$178,$A11&amp;" "&amp;$B11)</f>
        <v>12</v>
      </c>
    </row>
    <row r="12" spans="1:3" x14ac:dyDescent="0.45">
      <c r="A12" s="37" t="s">
        <v>786</v>
      </c>
      <c r="B12" s="13" t="s">
        <v>135</v>
      </c>
      <c r="C12" s="37">
        <f>COUNTIF('Master Register'!$T$4:$T$178,$A12&amp;" "&amp;$B12)</f>
        <v>5</v>
      </c>
    </row>
    <row r="13" spans="1:3" x14ac:dyDescent="0.45">
      <c r="A13" s="37" t="s">
        <v>791</v>
      </c>
      <c r="B13" s="13" t="s">
        <v>139</v>
      </c>
      <c r="C13" s="37">
        <f>COUNTIF('Master Register'!$T$4:$T$178,$A13&amp;" "&amp;$B13)</f>
        <v>9</v>
      </c>
    </row>
    <row r="14" spans="1:3" x14ac:dyDescent="0.45">
      <c r="A14" s="37" t="s">
        <v>798</v>
      </c>
      <c r="B14" s="13" t="s">
        <v>143</v>
      </c>
      <c r="C14" s="37">
        <f>COUNTIF('Master Register'!$T$4:$T$178,$A14&amp;" "&amp;$B14)</f>
        <v>12</v>
      </c>
    </row>
    <row r="15" spans="1:3" x14ac:dyDescent="0.45">
      <c r="A15" s="37" t="s">
        <v>807</v>
      </c>
      <c r="B15" s="13" t="s">
        <v>808</v>
      </c>
      <c r="C15" s="37">
        <f>COUNTIF('Master Register'!$T$4:$T$178,$A15&amp;" "&amp;$B15)</f>
        <v>4</v>
      </c>
    </row>
    <row r="16" spans="1:3" x14ac:dyDescent="0.45">
      <c r="A16" s="37" t="s">
        <v>813</v>
      </c>
      <c r="B16" s="13" t="s">
        <v>814</v>
      </c>
      <c r="C16" s="37">
        <f>COUNTIF('Master Register'!$T$4:$T$178,$A16&amp;" "&amp;$B16)</f>
        <v>14</v>
      </c>
    </row>
    <row r="17" spans="2:3" x14ac:dyDescent="0.45">
      <c r="B17" s="9" t="s">
        <v>1245</v>
      </c>
      <c r="C17" s="38">
        <f>SUM(C4:C16)</f>
        <v>175</v>
      </c>
    </row>
    <row r="18" spans="2:3" x14ac:dyDescent="0.45">
      <c r="C18" s="1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3"/>
  <sheetViews>
    <sheetView showGridLines="0" zoomScale="110" zoomScaleNormal="110" workbookViewId="0">
      <selection activeCell="F48" sqref="F48"/>
    </sheetView>
  </sheetViews>
  <sheetFormatPr defaultColWidth="8.6640625" defaultRowHeight="14.25" x14ac:dyDescent="0.45"/>
  <cols>
    <col min="1" max="1" width="32" customWidth="1"/>
    <col min="2" max="2" width="11.53125" customWidth="1"/>
    <col min="3" max="3" width="10.3984375" customWidth="1"/>
    <col min="4" max="4" width="20.33203125" customWidth="1"/>
    <col min="5" max="5" width="13.33203125" customWidth="1"/>
    <col min="6" max="6" width="10.3984375" customWidth="1"/>
    <col min="7" max="7" width="32" customWidth="1"/>
    <col min="8" max="8" width="11.53125" customWidth="1"/>
  </cols>
  <sheetData>
    <row r="1" spans="1:8" ht="31.5" customHeight="1" x14ac:dyDescent="0.45">
      <c r="A1" s="44" t="s">
        <v>1246</v>
      </c>
      <c r="B1" s="44"/>
      <c r="C1" s="44"/>
      <c r="D1" s="44"/>
      <c r="E1" s="44"/>
      <c r="F1" s="44"/>
      <c r="G1" s="44"/>
      <c r="H1" s="44"/>
    </row>
    <row r="2" spans="1:8" ht="30" customHeight="1" x14ac:dyDescent="0.45">
      <c r="A2" s="45" t="s">
        <v>1247</v>
      </c>
      <c r="B2" s="45"/>
      <c r="C2" s="45"/>
      <c r="D2" s="45"/>
      <c r="E2" s="45"/>
      <c r="F2" s="45"/>
      <c r="G2" s="45"/>
      <c r="H2" s="45"/>
    </row>
    <row r="4" spans="1:8" ht="13.5" customHeight="1" x14ac:dyDescent="0.45">
      <c r="A4" s="23" t="s">
        <v>1248</v>
      </c>
      <c r="B4" s="23" t="s">
        <v>1249</v>
      </c>
      <c r="D4" s="23" t="s">
        <v>1250</v>
      </c>
      <c r="E4" s="23" t="s">
        <v>1251</v>
      </c>
      <c r="G4" s="23" t="s">
        <v>1342</v>
      </c>
      <c r="H4" s="23" t="s">
        <v>1327</v>
      </c>
    </row>
    <row r="5" spans="1:8" ht="17.25" customHeight="1" x14ac:dyDescent="0.55000000000000004">
      <c r="A5" s="26" t="s">
        <v>1252</v>
      </c>
      <c r="B5" s="27">
        <f>COUNTA('Master Register'!$A$4:$A$178)</f>
        <v>175</v>
      </c>
      <c r="D5" s="26" t="s">
        <v>1253</v>
      </c>
      <c r="E5" s="28">
        <f>IF(B5=0,0,(B6+B7)/B5)</f>
        <v>0</v>
      </c>
      <c r="G5" s="26" t="s">
        <v>1343</v>
      </c>
      <c r="H5" s="27">
        <f>COUNTIF('Master Register'!$Y$4:$Y$178,G5)</f>
        <v>11</v>
      </c>
    </row>
    <row r="6" spans="1:8" ht="17.25" customHeight="1" x14ac:dyDescent="0.55000000000000004">
      <c r="A6" s="26" t="s">
        <v>1254</v>
      </c>
      <c r="B6" s="27">
        <f>COUNTIF('Master Register'!$F$4:$F$178,"Yes")</f>
        <v>0</v>
      </c>
      <c r="D6" s="26" t="s">
        <v>1255</v>
      </c>
      <c r="E6" s="27">
        <f>COUNTIF('Master Register'!$G$4:$G$178,"Complete")</f>
        <v>0</v>
      </c>
      <c r="G6" s="26" t="s">
        <v>1344</v>
      </c>
      <c r="H6" s="27">
        <f>COUNTIF('Master Register'!$Y$4:$Y$178,G6)</f>
        <v>19</v>
      </c>
    </row>
    <row r="7" spans="1:8" ht="17.25" customHeight="1" x14ac:dyDescent="0.55000000000000004">
      <c r="A7" s="26" t="s">
        <v>1256</v>
      </c>
      <c r="B7" s="27">
        <f>COUNTIF('Master Register'!$F$4:$F$178,"No")</f>
        <v>0</v>
      </c>
      <c r="D7" s="26" t="s">
        <v>1257</v>
      </c>
      <c r="E7" s="27">
        <f>COUNTIF('Master Register'!$G$4:$G$178,"In Progress")</f>
        <v>0</v>
      </c>
      <c r="G7" s="26" t="s">
        <v>1345</v>
      </c>
      <c r="H7" s="27">
        <f>COUNTIF('Master Register'!$Y$4:$Y$178,G7)</f>
        <v>145</v>
      </c>
    </row>
    <row r="8" spans="1:8" ht="17.25" customHeight="1" x14ac:dyDescent="0.55000000000000004">
      <c r="A8" s="26" t="s">
        <v>1258</v>
      </c>
      <c r="B8" s="27">
        <f>COUNTIF('Master Register'!$F$4:$F$178,"TBC")</f>
        <v>175</v>
      </c>
      <c r="D8" s="26" t="s">
        <v>1259</v>
      </c>
      <c r="E8" s="27">
        <f ca="1">COUNTIFS('Master Register'!$O$4:$O$178,"&lt;"&amp;TODAY(),'Master Register'!$O$4:$O$178,"&lt;&gt;",'Master Register'!$G$4:$G$178,"&lt;&gt;Complete",'Master Register'!$F$4:$F$178,"&lt;&gt;No")</f>
        <v>0</v>
      </c>
      <c r="G8" s="26" t="s">
        <v>1245</v>
      </c>
      <c r="H8" s="27">
        <f>SUM(H5:H7)</f>
        <v>175</v>
      </c>
    </row>
    <row r="9" spans="1:8" ht="17.25" customHeight="1" x14ac:dyDescent="0.55000000000000004">
      <c r="A9" s="26" t="s">
        <v>1260</v>
      </c>
      <c r="B9" s="27">
        <f>COUNTIF('Master Register'!$H$4:$H$178,"Critical")</f>
        <v>91</v>
      </c>
      <c r="D9" s="26" t="s">
        <v>1261</v>
      </c>
      <c r="E9" s="27">
        <f>COUNTIF('Master Register'!$R$4:$R$178,"&lt;&gt;Expanded recommendation")</f>
        <v>72</v>
      </c>
    </row>
    <row r="11" spans="1:8" hidden="1" x14ac:dyDescent="0.45"/>
    <row r="12" spans="1:8" ht="13.5" hidden="1" customHeight="1" x14ac:dyDescent="0.45">
      <c r="A12" s="23" t="s">
        <v>13</v>
      </c>
      <c r="B12" s="23" t="s">
        <v>1262</v>
      </c>
      <c r="C12" s="23" t="s">
        <v>1263</v>
      </c>
      <c r="D12" s="23" t="s">
        <v>1258</v>
      </c>
    </row>
    <row r="13" spans="1:8" hidden="1" x14ac:dyDescent="0.45">
      <c r="A13" s="24" t="s">
        <v>22</v>
      </c>
      <c r="B13" s="25">
        <f>COUNTIF('Master Register'!$B$4:$B$178,A13)</f>
        <v>11</v>
      </c>
      <c r="C13" s="25">
        <f>COUNTIFS('Master Register'!$B$4:$B$178,A13,'Master Register'!$F$4:$F$178,"Yes")</f>
        <v>0</v>
      </c>
      <c r="D13" s="25">
        <f>COUNTIFS('Master Register'!$B$4:$B$178,A13,'Master Register'!$F$4:$F$178,"TBC")</f>
        <v>11</v>
      </c>
    </row>
    <row r="14" spans="1:8" hidden="1" x14ac:dyDescent="0.45">
      <c r="A14" s="24" t="s">
        <v>69</v>
      </c>
      <c r="B14" s="25">
        <f>COUNTIF('Master Register'!$B$4:$B$178,A14)</f>
        <v>14</v>
      </c>
      <c r="C14" s="25">
        <f>COUNTIFS('Master Register'!$B$4:$B$178,A14,'Master Register'!$F$4:$F$178,"Yes")</f>
        <v>0</v>
      </c>
      <c r="D14" s="25">
        <f>COUNTIFS('Master Register'!$B$4:$B$178,A14,'Master Register'!$F$4:$F$178,"TBC")</f>
        <v>14</v>
      </c>
    </row>
    <row r="15" spans="1:8" hidden="1" x14ac:dyDescent="0.45">
      <c r="A15" s="24" t="s">
        <v>166</v>
      </c>
      <c r="B15" s="25">
        <f>COUNTIF('Master Register'!$B$4:$B$178,A15)</f>
        <v>13</v>
      </c>
      <c r="C15" s="25">
        <f>COUNTIFS('Master Register'!$B$4:$B$178,A15,'Master Register'!$F$4:$F$178,"Yes")</f>
        <v>0</v>
      </c>
      <c r="D15" s="25">
        <f>COUNTIFS('Master Register'!$B$4:$B$178,A15,'Master Register'!$F$4:$F$178,"TBC")</f>
        <v>13</v>
      </c>
    </row>
    <row r="16" spans="1:8" hidden="1" x14ac:dyDescent="0.45">
      <c r="A16" s="24" t="s">
        <v>117</v>
      </c>
      <c r="B16" s="25">
        <f>COUNTIF('Master Register'!$B$4:$B$178,A16)</f>
        <v>20</v>
      </c>
      <c r="C16" s="25">
        <f>COUNTIFS('Master Register'!$B$4:$B$178,A16,'Master Register'!$F$4:$F$178,"Yes")</f>
        <v>0</v>
      </c>
      <c r="D16" s="25">
        <f>COUNTIFS('Master Register'!$B$4:$B$178,A16,'Master Register'!$F$4:$F$178,"TBC")</f>
        <v>20</v>
      </c>
    </row>
    <row r="17" spans="1:14" hidden="1" x14ac:dyDescent="0.45">
      <c r="A17" s="24" t="s">
        <v>239</v>
      </c>
      <c r="B17" s="25">
        <f>COUNTIF('Master Register'!$B$4:$B$178,A17)</f>
        <v>15</v>
      </c>
      <c r="C17" s="25">
        <f>COUNTIFS('Master Register'!$B$4:$B$178,A17,'Master Register'!$F$4:$F$178,"Yes")</f>
        <v>0</v>
      </c>
      <c r="D17" s="25">
        <f>COUNTIFS('Master Register'!$B$4:$B$178,A17,'Master Register'!$F$4:$F$178,"TBC")</f>
        <v>15</v>
      </c>
    </row>
    <row r="18" spans="1:14" hidden="1" x14ac:dyDescent="0.45">
      <c r="A18" s="24" t="s">
        <v>260</v>
      </c>
      <c r="B18" s="25">
        <f>COUNTIF('Master Register'!$B$4:$B$178,A18)</f>
        <v>13</v>
      </c>
      <c r="C18" s="25">
        <f>COUNTIFS('Master Register'!$B$4:$B$178,A18,'Master Register'!$F$4:$F$178,"Yes")</f>
        <v>0</v>
      </c>
      <c r="D18" s="25">
        <f>COUNTIFS('Master Register'!$B$4:$B$178,A18,'Master Register'!$F$4:$F$178,"TBC")</f>
        <v>13</v>
      </c>
    </row>
    <row r="19" spans="1:14" hidden="1" x14ac:dyDescent="0.45">
      <c r="A19" s="24" t="s">
        <v>290</v>
      </c>
      <c r="B19" s="25">
        <f>COUNTIF('Master Register'!$B$4:$B$178,A19)</f>
        <v>10</v>
      </c>
      <c r="C19" s="25">
        <f>COUNTIFS('Master Register'!$B$4:$B$178,A19,'Master Register'!$F$4:$F$178,"Yes")</f>
        <v>0</v>
      </c>
      <c r="D19" s="25">
        <f>COUNTIFS('Master Register'!$B$4:$B$178,A19,'Master Register'!$F$4:$F$178,"TBC")</f>
        <v>10</v>
      </c>
    </row>
    <row r="20" spans="1:14" hidden="1" x14ac:dyDescent="0.45">
      <c r="A20" s="24" t="s">
        <v>123</v>
      </c>
      <c r="B20" s="25">
        <f>COUNTIF('Master Register'!$B$4:$B$178,A20)</f>
        <v>7</v>
      </c>
      <c r="C20" s="25">
        <f>COUNTIFS('Master Register'!$B$4:$B$178,A20,'Master Register'!$F$4:$F$178,"Yes")</f>
        <v>0</v>
      </c>
      <c r="D20" s="25">
        <f>COUNTIFS('Master Register'!$B$4:$B$178,A20,'Master Register'!$F$4:$F$178,"TBC")</f>
        <v>7</v>
      </c>
    </row>
    <row r="21" spans="1:14" hidden="1" x14ac:dyDescent="0.45">
      <c r="A21" s="24" t="s">
        <v>330</v>
      </c>
      <c r="B21" s="25">
        <f>COUNTIF('Master Register'!$B$4:$B$178,A21)</f>
        <v>9</v>
      </c>
      <c r="C21" s="25">
        <f>COUNTIFS('Master Register'!$B$4:$B$178,A21,'Master Register'!$F$4:$F$178,"Yes")</f>
        <v>0</v>
      </c>
      <c r="D21" s="25">
        <f>COUNTIFS('Master Register'!$B$4:$B$178,A21,'Master Register'!$F$4:$F$178,"TBC")</f>
        <v>9</v>
      </c>
    </row>
    <row r="22" spans="1:14" hidden="1" x14ac:dyDescent="0.45">
      <c r="A22" s="24" t="s">
        <v>342</v>
      </c>
      <c r="B22" s="25">
        <f>COUNTIF('Master Register'!$B$4:$B$178,A22)</f>
        <v>9</v>
      </c>
      <c r="C22" s="25">
        <f>COUNTIFS('Master Register'!$B$4:$B$178,A22,'Master Register'!$F$4:$F$178,"Yes")</f>
        <v>0</v>
      </c>
      <c r="D22" s="25">
        <f>COUNTIFS('Master Register'!$B$4:$B$178,A22,'Master Register'!$F$4:$F$178,"TBC")</f>
        <v>9</v>
      </c>
    </row>
    <row r="23" spans="1:14" hidden="1" x14ac:dyDescent="0.45">
      <c r="A23" s="24" t="s">
        <v>135</v>
      </c>
      <c r="B23" s="25">
        <f>COUNTIF('Master Register'!$B$4:$B$178,A23)</f>
        <v>6</v>
      </c>
      <c r="C23" s="25">
        <f>COUNTIFS('Master Register'!$B$4:$B$178,A23,'Master Register'!$F$4:$F$178,"Yes")</f>
        <v>0</v>
      </c>
      <c r="D23" s="25">
        <f>COUNTIFS('Master Register'!$B$4:$B$178,A23,'Master Register'!$F$4:$F$178,"TBC")</f>
        <v>6</v>
      </c>
    </row>
    <row r="24" spans="1:14" hidden="1" x14ac:dyDescent="0.45">
      <c r="A24" s="24" t="s">
        <v>139</v>
      </c>
      <c r="B24" s="25">
        <f>COUNTIF('Master Register'!$B$4:$B$178,A24)</f>
        <v>9</v>
      </c>
      <c r="C24" s="25">
        <f>COUNTIFS('Master Register'!$B$4:$B$178,A24,'Master Register'!$F$4:$F$178,"Yes")</f>
        <v>0</v>
      </c>
      <c r="D24" s="25">
        <f>COUNTIFS('Master Register'!$B$4:$B$178,A24,'Master Register'!$F$4:$F$178,"TBC")</f>
        <v>9</v>
      </c>
    </row>
    <row r="25" spans="1:14" hidden="1" x14ac:dyDescent="0.45">
      <c r="A25" s="24" t="s">
        <v>143</v>
      </c>
      <c r="B25" s="25">
        <f>COUNTIF('Master Register'!$B$4:$B$178,A25)</f>
        <v>12</v>
      </c>
      <c r="C25" s="25">
        <f>COUNTIFS('Master Register'!$B$4:$B$178,A25,'Master Register'!$F$4:$F$178,"Yes")</f>
        <v>0</v>
      </c>
      <c r="D25" s="25">
        <f>COUNTIFS('Master Register'!$B$4:$B$178,A25,'Master Register'!$F$4:$F$178,"TBC")</f>
        <v>12</v>
      </c>
    </row>
    <row r="26" spans="1:14" hidden="1" x14ac:dyDescent="0.45">
      <c r="A26" s="24" t="s">
        <v>413</v>
      </c>
      <c r="B26" s="25">
        <f>COUNTIF('Master Register'!$B$4:$B$178,A26)</f>
        <v>13</v>
      </c>
      <c r="C26" s="25">
        <f>COUNTIFS('Master Register'!$B$4:$B$178,A26,'Master Register'!$F$4:$F$178,"Yes")</f>
        <v>0</v>
      </c>
      <c r="D26" s="25">
        <f>COUNTIFS('Master Register'!$B$4:$B$178,A26,'Master Register'!$F$4:$F$178,"TBC")</f>
        <v>13</v>
      </c>
    </row>
    <row r="27" spans="1:14" hidden="1" x14ac:dyDescent="0.45">
      <c r="A27" s="24" t="s">
        <v>431</v>
      </c>
      <c r="B27" s="25">
        <f>COUNTIF('Master Register'!$B$4:$B$178,A27)</f>
        <v>14</v>
      </c>
      <c r="C27" s="25">
        <f>COUNTIFS('Master Register'!$B$4:$B$178,A27,'Master Register'!$F$4:$F$178,"Yes")</f>
        <v>0</v>
      </c>
      <c r="D27" s="25">
        <f>COUNTIFS('Master Register'!$B$4:$B$178,A27,'Master Register'!$F$4:$F$178,"TBC")</f>
        <v>14</v>
      </c>
    </row>
    <row r="28" spans="1:14" s="10" customFormat="1" ht="28.5" x14ac:dyDescent="0.5">
      <c r="A28" s="33" t="s">
        <v>13</v>
      </c>
      <c r="B28" s="33" t="s">
        <v>1343</v>
      </c>
      <c r="C28" s="33" t="s">
        <v>1344</v>
      </c>
      <c r="D28" s="33" t="s">
        <v>1345</v>
      </c>
      <c r="E28" s="33" t="s">
        <v>1262</v>
      </c>
      <c r="G28" s="46" t="s">
        <v>1356</v>
      </c>
      <c r="H28" s="46"/>
      <c r="I28" s="46"/>
      <c r="J28" s="46"/>
      <c r="K28" s="46"/>
      <c r="L28" s="46"/>
      <c r="M28" s="46"/>
      <c r="N28" s="46"/>
    </row>
    <row r="29" spans="1:14" ht="22.9" customHeight="1" x14ac:dyDescent="0.45">
      <c r="A29" s="34" t="str">
        <f t="shared" ref="A29:A43" si="0">A13</f>
        <v>Tender &amp; Bid Baseline</v>
      </c>
      <c r="B29" s="35">
        <f>COUNTIFS('Master Register'!$B$4:$B$178,$A29,'Master Register'!$Y$4:$Y$178,B$28)</f>
        <v>11</v>
      </c>
      <c r="C29" s="35">
        <f>COUNTIFS('Master Register'!$B$4:$B$178,$A29,'Master Register'!$Y$4:$Y$178,C$28)</f>
        <v>0</v>
      </c>
      <c r="D29" s="35">
        <f>COUNTIFS('Master Register'!$B$4:$B$178,$A29,'Master Register'!$Y$4:$Y$178,D$28)</f>
        <v>0</v>
      </c>
      <c r="E29" s="36">
        <f t="shared" ref="E29:E43" si="1">SUM(B29:D29)</f>
        <v>11</v>
      </c>
    </row>
    <row r="30" spans="1:14" ht="22.9" customHeight="1" x14ac:dyDescent="0.45">
      <c r="A30" s="34" t="str">
        <f t="shared" si="0"/>
        <v>Contract Formation</v>
      </c>
      <c r="B30" s="35">
        <f>COUNTIFS('Master Register'!$B$4:$B$178,$A30,'Master Register'!$Y$4:$Y$178,B$28)</f>
        <v>0</v>
      </c>
      <c r="C30" s="35">
        <f>COUNTIFS('Master Register'!$B$4:$B$178,$A30,'Master Register'!$Y$4:$Y$178,C$28)</f>
        <v>14</v>
      </c>
      <c r="D30" s="35">
        <f>COUNTIFS('Master Register'!$B$4:$B$178,$A30,'Master Register'!$Y$4:$Y$178,D$28)</f>
        <v>0</v>
      </c>
      <c r="E30" s="36">
        <f t="shared" si="1"/>
        <v>14</v>
      </c>
    </row>
    <row r="31" spans="1:14" ht="22.9" customHeight="1" x14ac:dyDescent="0.45">
      <c r="A31" s="34" t="str">
        <f t="shared" si="0"/>
        <v>Scope &amp; Design Cost Control</v>
      </c>
      <c r="B31" s="35">
        <f>COUNTIFS('Master Register'!$B$4:$B$178,$A31,'Master Register'!$Y$4:$Y$178,B$28)</f>
        <v>0</v>
      </c>
      <c r="C31" s="35">
        <f>COUNTIFS('Master Register'!$B$4:$B$178,$A31,'Master Register'!$Y$4:$Y$178,C$28)</f>
        <v>0</v>
      </c>
      <c r="D31" s="35">
        <f>COUNTIFS('Master Register'!$B$4:$B$178,$A31,'Master Register'!$Y$4:$Y$178,D$28)</f>
        <v>13</v>
      </c>
      <c r="E31" s="36">
        <f t="shared" si="1"/>
        <v>13</v>
      </c>
    </row>
    <row r="32" spans="1:14" ht="22.9" customHeight="1" x14ac:dyDescent="0.45">
      <c r="A32" s="34" t="str">
        <f t="shared" si="0"/>
        <v>Cost Planning &amp; Budget</v>
      </c>
      <c r="B32" s="35">
        <f>COUNTIFS('Master Register'!$B$4:$B$178,$A32,'Master Register'!$Y$4:$Y$178,B$28)</f>
        <v>0</v>
      </c>
      <c r="C32" s="35">
        <f>COUNTIFS('Master Register'!$B$4:$B$178,$A32,'Master Register'!$Y$4:$Y$178,C$28)</f>
        <v>2</v>
      </c>
      <c r="D32" s="35">
        <f>COUNTIFS('Master Register'!$B$4:$B$178,$A32,'Master Register'!$Y$4:$Y$178,D$28)</f>
        <v>18</v>
      </c>
      <c r="E32" s="36">
        <f t="shared" si="1"/>
        <v>20</v>
      </c>
    </row>
    <row r="33" spans="1:5" ht="22.9" customHeight="1" x14ac:dyDescent="0.45">
      <c r="A33" s="34" t="str">
        <f t="shared" si="0"/>
        <v>Procurement Strategy</v>
      </c>
      <c r="B33" s="35">
        <f>COUNTIFS('Master Register'!$B$4:$B$178,$A33,'Master Register'!$Y$4:$Y$178,B$28)</f>
        <v>0</v>
      </c>
      <c r="C33" s="35">
        <f>COUNTIFS('Master Register'!$B$4:$B$178,$A33,'Master Register'!$Y$4:$Y$178,C$28)</f>
        <v>0</v>
      </c>
      <c r="D33" s="35">
        <f>COUNTIFS('Master Register'!$B$4:$B$178,$A33,'Master Register'!$Y$4:$Y$178,D$28)</f>
        <v>15</v>
      </c>
      <c r="E33" s="36">
        <f t="shared" si="1"/>
        <v>15</v>
      </c>
    </row>
    <row r="34" spans="1:5" ht="22.9" customHeight="1" x14ac:dyDescent="0.45">
      <c r="A34" s="34" t="str">
        <f t="shared" si="0"/>
        <v>Tendering &amp; Package Award</v>
      </c>
      <c r="B34" s="35">
        <f>COUNTIFS('Master Register'!$B$4:$B$178,$A34,'Master Register'!$Y$4:$Y$178,B$28)</f>
        <v>0</v>
      </c>
      <c r="C34" s="35">
        <f>COUNTIFS('Master Register'!$B$4:$B$178,$A34,'Master Register'!$Y$4:$Y$178,C$28)</f>
        <v>0</v>
      </c>
      <c r="D34" s="35">
        <f>COUNTIFS('Master Register'!$B$4:$B$178,$A34,'Master Register'!$Y$4:$Y$178,D$28)</f>
        <v>13</v>
      </c>
      <c r="E34" s="36">
        <f t="shared" si="1"/>
        <v>13</v>
      </c>
    </row>
    <row r="35" spans="1:5" ht="22.9" customHeight="1" x14ac:dyDescent="0.45">
      <c r="A35" s="34" t="str">
        <f t="shared" si="0"/>
        <v>Subcontract Formation</v>
      </c>
      <c r="B35" s="35">
        <f>COUNTIFS('Master Register'!$B$4:$B$178,$A35,'Master Register'!$Y$4:$Y$178,B$28)</f>
        <v>0</v>
      </c>
      <c r="C35" s="35">
        <f>COUNTIFS('Master Register'!$B$4:$B$178,$A35,'Master Register'!$Y$4:$Y$178,C$28)</f>
        <v>0</v>
      </c>
      <c r="D35" s="35">
        <f>COUNTIFS('Master Register'!$B$4:$B$178,$A35,'Master Register'!$Y$4:$Y$178,D$28)</f>
        <v>10</v>
      </c>
      <c r="E35" s="36">
        <f t="shared" si="1"/>
        <v>10</v>
      </c>
    </row>
    <row r="36" spans="1:5" ht="22.9" customHeight="1" x14ac:dyDescent="0.45">
      <c r="A36" s="34" t="str">
        <f t="shared" si="0"/>
        <v>Cashflow, Payment &amp; Tax</v>
      </c>
      <c r="B36" s="35">
        <f>COUNTIFS('Master Register'!$B$4:$B$178,$A36,'Master Register'!$Y$4:$Y$178,B$28)</f>
        <v>0</v>
      </c>
      <c r="C36" s="35">
        <f>COUNTIFS('Master Register'!$B$4:$B$178,$A36,'Master Register'!$Y$4:$Y$178,C$28)</f>
        <v>2</v>
      </c>
      <c r="D36" s="35">
        <f>COUNTIFS('Master Register'!$B$4:$B$178,$A36,'Master Register'!$Y$4:$Y$178,D$28)</f>
        <v>5</v>
      </c>
      <c r="E36" s="36">
        <f t="shared" si="1"/>
        <v>7</v>
      </c>
    </row>
    <row r="37" spans="1:5" ht="22.9" customHeight="1" x14ac:dyDescent="0.45">
      <c r="A37" s="34" t="str">
        <f t="shared" si="0"/>
        <v>Risk, Opportunity &amp; Governance</v>
      </c>
      <c r="B37" s="35">
        <f>COUNTIFS('Master Register'!$B$4:$B$178,$A37,'Master Register'!$Y$4:$Y$178,B$28)</f>
        <v>0</v>
      </c>
      <c r="C37" s="35">
        <f>COUNTIFS('Master Register'!$B$4:$B$178,$A37,'Master Register'!$Y$4:$Y$178,C$28)</f>
        <v>0</v>
      </c>
      <c r="D37" s="35">
        <f>COUNTIFS('Master Register'!$B$4:$B$178,$A37,'Master Register'!$Y$4:$Y$178,D$28)</f>
        <v>9</v>
      </c>
      <c r="E37" s="36">
        <f t="shared" si="1"/>
        <v>9</v>
      </c>
    </row>
    <row r="38" spans="1:5" ht="22.9" customHeight="1" x14ac:dyDescent="0.45">
      <c r="A38" s="34" t="str">
        <f t="shared" si="0"/>
        <v>Change, Claims &amp; Entitlement</v>
      </c>
      <c r="B38" s="35">
        <f>COUNTIFS('Master Register'!$B$4:$B$178,$A38,'Master Register'!$Y$4:$Y$178,B$28)</f>
        <v>0</v>
      </c>
      <c r="C38" s="35">
        <f>COUNTIFS('Master Register'!$B$4:$B$178,$A38,'Master Register'!$Y$4:$Y$178,C$28)</f>
        <v>0</v>
      </c>
      <c r="D38" s="35">
        <f>COUNTIFS('Master Register'!$B$4:$B$178,$A38,'Master Register'!$Y$4:$Y$178,D$28)</f>
        <v>9</v>
      </c>
      <c r="E38" s="36">
        <f t="shared" si="1"/>
        <v>9</v>
      </c>
    </row>
    <row r="39" spans="1:5" ht="22.9" customHeight="1" x14ac:dyDescent="0.45">
      <c r="A39" s="34" t="str">
        <f t="shared" si="0"/>
        <v>Programme &amp; Delay Commercials</v>
      </c>
      <c r="B39" s="35">
        <f>COUNTIFS('Master Register'!$B$4:$B$178,$A39,'Master Register'!$Y$4:$Y$178,B$28)</f>
        <v>0</v>
      </c>
      <c r="C39" s="35">
        <f>COUNTIFS('Master Register'!$B$4:$B$178,$A39,'Master Register'!$Y$4:$Y$178,C$28)</f>
        <v>0</v>
      </c>
      <c r="D39" s="35">
        <f>COUNTIFS('Master Register'!$B$4:$B$178,$A39,'Master Register'!$Y$4:$Y$178,D$28)</f>
        <v>6</v>
      </c>
      <c r="E39" s="36">
        <f t="shared" si="1"/>
        <v>6</v>
      </c>
    </row>
    <row r="40" spans="1:5" ht="22.9" customHeight="1" x14ac:dyDescent="0.45">
      <c r="A40" s="34" t="str">
        <f t="shared" si="0"/>
        <v>Insurance, Security &amp; Warranties</v>
      </c>
      <c r="B40" s="35">
        <f>COUNTIFS('Master Register'!$B$4:$B$178,$A40,'Master Register'!$Y$4:$Y$178,B$28)</f>
        <v>0</v>
      </c>
      <c r="C40" s="35">
        <f>COUNTIFS('Master Register'!$B$4:$B$178,$A40,'Master Register'!$Y$4:$Y$178,C$28)</f>
        <v>0</v>
      </c>
      <c r="D40" s="35">
        <f>COUNTIFS('Master Register'!$B$4:$B$178,$A40,'Master Register'!$Y$4:$Y$178,D$28)</f>
        <v>9</v>
      </c>
      <c r="E40" s="36">
        <f t="shared" si="1"/>
        <v>9</v>
      </c>
    </row>
    <row r="41" spans="1:5" ht="22.9" customHeight="1" x14ac:dyDescent="0.45">
      <c r="A41" s="34" t="str">
        <f t="shared" si="0"/>
        <v>Property, Statutory &amp; Third Parties</v>
      </c>
      <c r="B41" s="35">
        <f>COUNTIFS('Master Register'!$B$4:$B$178,$A41,'Master Register'!$Y$4:$Y$178,B$28)</f>
        <v>0</v>
      </c>
      <c r="C41" s="35">
        <f>COUNTIFS('Master Register'!$B$4:$B$178,$A41,'Master Register'!$Y$4:$Y$178,C$28)</f>
        <v>1</v>
      </c>
      <c r="D41" s="35">
        <f>COUNTIFS('Master Register'!$B$4:$B$178,$A41,'Master Register'!$Y$4:$Y$178,D$28)</f>
        <v>11</v>
      </c>
      <c r="E41" s="36">
        <f t="shared" si="1"/>
        <v>12</v>
      </c>
    </row>
    <row r="42" spans="1:5" ht="22.9" customHeight="1" x14ac:dyDescent="0.45">
      <c r="A42" s="34" t="str">
        <f t="shared" si="0"/>
        <v>Reporting &amp; Project Controls</v>
      </c>
      <c r="B42" s="35">
        <f>COUNTIFS('Master Register'!$B$4:$B$178,$A42,'Master Register'!$Y$4:$Y$178,B$28)</f>
        <v>0</v>
      </c>
      <c r="C42" s="35">
        <f>COUNTIFS('Master Register'!$B$4:$B$178,$A42,'Master Register'!$Y$4:$Y$178,C$28)</f>
        <v>0</v>
      </c>
      <c r="D42" s="35">
        <f>COUNTIFS('Master Register'!$B$4:$B$178,$A42,'Master Register'!$Y$4:$Y$178,D$28)</f>
        <v>13</v>
      </c>
      <c r="E42" s="36">
        <f t="shared" si="1"/>
        <v>13</v>
      </c>
    </row>
    <row r="43" spans="1:5" ht="22.9" customHeight="1" x14ac:dyDescent="0.45">
      <c r="A43" s="34" t="str">
        <f t="shared" si="0"/>
        <v>Mobilisation &amp; Delivery Handover</v>
      </c>
      <c r="B43" s="35">
        <f>COUNTIFS('Master Register'!$B$4:$B$178,$A43,'Master Register'!$Y$4:$Y$178,B$28)</f>
        <v>0</v>
      </c>
      <c r="C43" s="35">
        <f>COUNTIFS('Master Register'!$B$4:$B$178,$A43,'Master Register'!$Y$4:$Y$178,C$28)</f>
        <v>0</v>
      </c>
      <c r="D43" s="35">
        <f>COUNTIFS('Master Register'!$B$4:$B$178,$A43,'Master Register'!$Y$4:$Y$178,D$28)</f>
        <v>14</v>
      </c>
      <c r="E43" s="36">
        <f t="shared" si="1"/>
        <v>14</v>
      </c>
    </row>
  </sheetData>
  <mergeCells count="3">
    <mergeCell ref="A1:H1"/>
    <mergeCell ref="A2:H2"/>
    <mergeCell ref="G28:N28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"/>
  <sheetViews>
    <sheetView showGridLines="0" zoomScaleNormal="100" workbookViewId="0">
      <selection activeCell="C27" sqref="C27"/>
    </sheetView>
  </sheetViews>
  <sheetFormatPr defaultColWidth="8.6640625" defaultRowHeight="14.25" x14ac:dyDescent="0.45"/>
  <cols>
    <col min="1" max="1" width="25" style="39" customWidth="1"/>
    <col min="2" max="2" width="48" style="39" customWidth="1"/>
    <col min="3" max="3" width="42" style="39" customWidth="1"/>
    <col min="4" max="4" width="25" style="39" customWidth="1"/>
    <col min="5" max="5" width="8.6640625" style="39"/>
    <col min="6" max="6" width="38" style="39" customWidth="1"/>
    <col min="7" max="7" width="48" style="39" customWidth="1"/>
    <col min="8" max="8" width="28" style="39" customWidth="1"/>
    <col min="9" max="9" width="8.6640625" style="39"/>
    <col min="10" max="10" width="28" style="39" customWidth="1"/>
    <col min="11" max="16384" width="8.6640625" style="39"/>
  </cols>
  <sheetData>
    <row r="1" spans="1:10" ht="20.25" customHeight="1" x14ac:dyDescent="0.45">
      <c r="A1" s="43" t="s">
        <v>1264</v>
      </c>
      <c r="B1" s="43"/>
      <c r="C1" s="43"/>
      <c r="D1" s="43"/>
      <c r="E1" s="43"/>
      <c r="F1" s="43"/>
      <c r="G1" s="43"/>
      <c r="H1" s="43"/>
      <c r="J1" s="31" t="s">
        <v>1265</v>
      </c>
    </row>
    <row r="2" spans="1:10" x14ac:dyDescent="0.45">
      <c r="J2" s="32" t="s">
        <v>877</v>
      </c>
    </row>
    <row r="3" spans="1:10" ht="13.5" customHeight="1" x14ac:dyDescent="0.45">
      <c r="A3" s="29" t="s">
        <v>1266</v>
      </c>
      <c r="B3" s="29" t="s">
        <v>1267</v>
      </c>
      <c r="C3" s="29" t="s">
        <v>1268</v>
      </c>
      <c r="D3" s="29" t="s">
        <v>1269</v>
      </c>
      <c r="F3" s="30" t="s">
        <v>1354</v>
      </c>
      <c r="G3" s="30" t="s">
        <v>1270</v>
      </c>
      <c r="H3" s="30" t="s">
        <v>18</v>
      </c>
      <c r="J3" s="32" t="s">
        <v>845</v>
      </c>
    </row>
    <row r="4" spans="1:10" ht="27" customHeight="1" x14ac:dyDescent="0.45">
      <c r="A4" s="12" t="s">
        <v>826</v>
      </c>
      <c r="B4" s="12" t="s">
        <v>1271</v>
      </c>
      <c r="C4" s="12" t="s">
        <v>1272</v>
      </c>
      <c r="D4" s="12" t="s">
        <v>845</v>
      </c>
      <c r="F4" s="12" t="s">
        <v>1273</v>
      </c>
      <c r="G4" s="12" t="s">
        <v>1274</v>
      </c>
      <c r="H4" s="12" t="s">
        <v>877</v>
      </c>
      <c r="J4" s="32" t="s">
        <v>905</v>
      </c>
    </row>
    <row r="5" spans="1:10" ht="27" customHeight="1" x14ac:dyDescent="0.45">
      <c r="A5" s="12" t="s">
        <v>827</v>
      </c>
      <c r="B5" s="12" t="s">
        <v>1275</v>
      </c>
      <c r="C5" s="12" t="s">
        <v>1276</v>
      </c>
      <c r="D5" s="12" t="s">
        <v>1277</v>
      </c>
      <c r="F5" s="12" t="s">
        <v>1278</v>
      </c>
      <c r="G5" s="12" t="s">
        <v>1279</v>
      </c>
      <c r="H5" s="12" t="s">
        <v>845</v>
      </c>
      <c r="J5" s="32" t="s">
        <v>844</v>
      </c>
    </row>
    <row r="6" spans="1:10" ht="27" customHeight="1" x14ac:dyDescent="0.45">
      <c r="A6" s="12" t="s">
        <v>14</v>
      </c>
      <c r="B6" s="12" t="s">
        <v>1280</v>
      </c>
      <c r="C6" s="12" t="s">
        <v>1281</v>
      </c>
      <c r="D6" s="12" t="s">
        <v>845</v>
      </c>
      <c r="F6" s="12" t="s">
        <v>1282</v>
      </c>
      <c r="G6" s="12" t="s">
        <v>1283</v>
      </c>
      <c r="H6" s="12" t="s">
        <v>1284</v>
      </c>
      <c r="J6" s="32" t="s">
        <v>1008</v>
      </c>
    </row>
    <row r="7" spans="1:10" ht="27" customHeight="1" x14ac:dyDescent="0.45">
      <c r="A7" s="12" t="s">
        <v>833</v>
      </c>
      <c r="B7" s="12" t="s">
        <v>1355</v>
      </c>
      <c r="C7" s="12" t="s">
        <v>1285</v>
      </c>
      <c r="D7" s="12" t="s">
        <v>1277</v>
      </c>
      <c r="F7" s="12" t="s">
        <v>1286</v>
      </c>
      <c r="G7" s="12" t="s">
        <v>1287</v>
      </c>
      <c r="H7" s="12" t="s">
        <v>845</v>
      </c>
      <c r="J7" s="32" t="s">
        <v>873</v>
      </c>
    </row>
    <row r="8" spans="1:10" ht="27" customHeight="1" x14ac:dyDescent="0.45">
      <c r="A8" s="12" t="s">
        <v>835</v>
      </c>
      <c r="B8" s="12" t="s">
        <v>1288</v>
      </c>
      <c r="C8" s="12" t="s">
        <v>1289</v>
      </c>
      <c r="D8" s="12" t="s">
        <v>925</v>
      </c>
      <c r="F8" s="12" t="s">
        <v>1290</v>
      </c>
      <c r="G8" s="12" t="s">
        <v>1291</v>
      </c>
      <c r="H8" s="12" t="s">
        <v>905</v>
      </c>
      <c r="J8" s="32" t="s">
        <v>1081</v>
      </c>
    </row>
    <row r="9" spans="1:10" ht="27" customHeight="1" x14ac:dyDescent="0.45">
      <c r="A9" s="12" t="s">
        <v>837</v>
      </c>
      <c r="B9" s="12" t="s">
        <v>1292</v>
      </c>
      <c r="C9" s="12" t="s">
        <v>1293</v>
      </c>
      <c r="D9" s="12" t="s">
        <v>1277</v>
      </c>
      <c r="F9" s="12" t="s">
        <v>1294</v>
      </c>
      <c r="G9" s="12" t="s">
        <v>1295</v>
      </c>
      <c r="H9" s="12" t="s">
        <v>1296</v>
      </c>
      <c r="J9" s="32" t="s">
        <v>1117</v>
      </c>
    </row>
    <row r="10" spans="1:10" ht="27" customHeight="1" x14ac:dyDescent="0.45">
      <c r="A10" s="12" t="s">
        <v>836</v>
      </c>
      <c r="B10" s="12" t="s">
        <v>1297</v>
      </c>
      <c r="C10" s="12" t="s">
        <v>1298</v>
      </c>
      <c r="D10" s="12" t="s">
        <v>845</v>
      </c>
      <c r="F10" s="12" t="s">
        <v>1299</v>
      </c>
      <c r="G10" s="12" t="s">
        <v>1300</v>
      </c>
      <c r="H10" s="12" t="s">
        <v>845</v>
      </c>
      <c r="J10" s="32" t="s">
        <v>851</v>
      </c>
    </row>
    <row r="11" spans="1:10" x14ac:dyDescent="0.45">
      <c r="F11" s="12" t="s">
        <v>1301</v>
      </c>
      <c r="G11" s="12" t="s">
        <v>1302</v>
      </c>
      <c r="H11" s="12" t="s">
        <v>1303</v>
      </c>
      <c r="J11" s="32" t="s">
        <v>925</v>
      </c>
    </row>
    <row r="12" spans="1:10" x14ac:dyDescent="0.45">
      <c r="F12" s="12" t="s">
        <v>1304</v>
      </c>
      <c r="G12" s="12" t="s">
        <v>1305</v>
      </c>
      <c r="H12" s="12" t="s">
        <v>845</v>
      </c>
      <c r="J12" s="32" t="s">
        <v>1024</v>
      </c>
    </row>
    <row r="13" spans="1:10" ht="13.5" customHeight="1" x14ac:dyDescent="0.45">
      <c r="A13" s="29" t="s">
        <v>828</v>
      </c>
      <c r="B13" s="29" t="s">
        <v>1306</v>
      </c>
      <c r="C13" s="29" t="s">
        <v>1307</v>
      </c>
      <c r="D13" s="29" t="s">
        <v>1308</v>
      </c>
      <c r="J13" s="32" t="s">
        <v>895</v>
      </c>
    </row>
    <row r="14" spans="1:10" ht="27" customHeight="1" x14ac:dyDescent="0.45">
      <c r="A14" s="12" t="s">
        <v>867</v>
      </c>
      <c r="B14" s="12" t="s">
        <v>1309</v>
      </c>
      <c r="C14" s="12" t="s">
        <v>1310</v>
      </c>
      <c r="D14" s="12" t="s">
        <v>1311</v>
      </c>
      <c r="J14" s="32" t="s">
        <v>1312</v>
      </c>
    </row>
    <row r="15" spans="1:10" ht="40.5" customHeight="1" x14ac:dyDescent="0.45">
      <c r="A15" s="12" t="s">
        <v>843</v>
      </c>
      <c r="B15" s="12" t="s">
        <v>1313</v>
      </c>
      <c r="C15" s="12" t="s">
        <v>1314</v>
      </c>
      <c r="D15" s="12" t="s">
        <v>1315</v>
      </c>
      <c r="J15" s="32" t="s">
        <v>985</v>
      </c>
    </row>
    <row r="16" spans="1:10" ht="40.5" customHeight="1" x14ac:dyDescent="0.45">
      <c r="A16" s="12" t="s">
        <v>859</v>
      </c>
      <c r="B16" s="12" t="s">
        <v>1316</v>
      </c>
      <c r="C16" s="12" t="s">
        <v>1317</v>
      </c>
      <c r="D16" s="12" t="s">
        <v>1318</v>
      </c>
      <c r="J16" s="32" t="s">
        <v>1319</v>
      </c>
    </row>
    <row r="17" spans="10:10" x14ac:dyDescent="0.45">
      <c r="J17" s="32" t="s">
        <v>1320</v>
      </c>
    </row>
    <row r="18" spans="10:10" x14ac:dyDescent="0.45">
      <c r="J18" s="32" t="s">
        <v>1321</v>
      </c>
    </row>
    <row r="19" spans="10:10" x14ac:dyDescent="0.45">
      <c r="J19" s="32" t="s">
        <v>1322</v>
      </c>
    </row>
    <row r="20" spans="10:10" x14ac:dyDescent="0.45">
      <c r="J20" s="32" t="s">
        <v>981</v>
      </c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Stage 1 - Bid &amp; Tender</vt:lpstr>
      <vt:lpstr>Stage 2 - Contract Award</vt:lpstr>
      <vt:lpstr>Stage 3 - Pre-Construction</vt:lpstr>
      <vt:lpstr>Pre-Con Folder Structure</vt:lpstr>
      <vt:lpstr>Master Register</vt:lpstr>
      <vt:lpstr>Folder Coverage</vt:lpstr>
      <vt:lpstr>Dashboard</vt:lpstr>
      <vt:lpstr>Guidance &amp; Lookups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Pre-Construction Commercial Register</dc:title>
  <dc:subject/>
  <dc:creator>Joan Raza</dc:creator>
  <cp:keywords/>
  <dc:description/>
  <cp:lastModifiedBy>Joan Kazmi</cp:lastModifiedBy>
  <cp:revision>1</cp:revision>
  <dcterms:created xsi:type="dcterms:W3CDTF">2026-08-28T15:05:39Z</dcterms:created>
  <dcterms:modified xsi:type="dcterms:W3CDTF">2026-09-01T10:05:52Z</dcterms:modified>
  <cp:category/>
  <dc:language>en-US</dc:language>
</cp:coreProperties>
</file>