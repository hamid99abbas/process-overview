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za_\OneDrive - Meridian Construction &amp; Refurbishments Ltd\Desktop\PCSA - To Hamid\To Hamid\"/>
    </mc:Choice>
  </mc:AlternateContent>
  <xr:revisionPtr revIDLastSave="0" documentId="13_ncr:1_{3F1C48DC-EB7D-4A29-A7AD-F4D8AD5A64A5}" xr6:coauthVersionLast="47" xr6:coauthVersionMax="47" xr10:uidLastSave="{00000000-0000-0000-0000-000000000000}"/>
  <bookViews>
    <workbookView xWindow="28690" yWindow="-110" windowWidth="38620" windowHeight="21100" tabRatio="500" firstSheet="1" activeTab="7" xr2:uid="{00000000-000D-0000-FFFF-FFFF00000000}"/>
  </bookViews>
  <sheets>
    <sheet name="Read Me" sheetId="1" r:id="rId1"/>
    <sheet name="Stage 1 - Bid &amp; Tender" sheetId="2" r:id="rId2"/>
    <sheet name="Stage 2 - Contract Award" sheetId="3" r:id="rId3"/>
    <sheet name="Stage 3 - Pre-Construction" sheetId="4" r:id="rId4"/>
    <sheet name="Design Folder Structure" sheetId="5" r:id="rId5"/>
    <sheet name="Master Register" sheetId="6" r:id="rId6"/>
    <sheet name="Folder Coverage" sheetId="7" r:id="rId7"/>
    <sheet name="Dashboard" sheetId="8" r:id="rId8"/>
    <sheet name="Guidance &amp; Lookups" sheetId="9" r:id="rId9"/>
  </sheets>
  <definedNames>
    <definedName name="_xlnm.Print_Titles" localSheetId="5">'Master Register'!$3:$3</definedName>
    <definedName name="_xlnm.Print_Titles" localSheetId="1">'Stage 1 - Bid &amp; Tender'!$5:$5</definedName>
    <definedName name="_xlnm.Print_Titles" localSheetId="2">'Stage 2 - Contract Award'!$5:$5</definedName>
    <definedName name="_xlnm.Print_Titles" localSheetId="3">'Stage 3 - Pre-Construction'!$5:$5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" i="4" l="1"/>
  <c r="A2" i="3"/>
  <c r="A2" i="2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H15" i="8"/>
  <c r="B15" i="8"/>
  <c r="H14" i="8"/>
  <c r="B14" i="8"/>
  <c r="H13" i="8"/>
  <c r="B13" i="8"/>
  <c r="E9" i="8"/>
  <c r="B9" i="8"/>
  <c r="E8" i="8"/>
  <c r="B8" i="8"/>
  <c r="E7" i="8"/>
  <c r="B7" i="8"/>
  <c r="E6" i="8"/>
  <c r="B6" i="8"/>
  <c r="B5" i="8"/>
  <c r="E5" i="8" s="1"/>
  <c r="C6" i="7"/>
  <c r="C5" i="7"/>
  <c r="C4" i="7"/>
  <c r="C7" i="7" s="1"/>
  <c r="H16" i="8" l="1"/>
</calcChain>
</file>

<file path=xl/sharedStrings.xml><?xml version="1.0" encoding="utf-8"?>
<sst xmlns="http://schemas.openxmlformats.org/spreadsheetml/2006/main" count="1708" uniqueCount="477">
  <si>
    <t>Pre-Construction Document Delivery Register</t>
  </si>
  <si>
    <t>Project</t>
  </si>
  <si>
    <t>What this is</t>
  </si>
  <si>
    <t>Controlled index of all 74 pre-construction design and information deliverables, in the same structure and house style as the Pre-Construction Commercial Register so the two form one document-control pack.</t>
  </si>
  <si>
    <t>Spine</t>
  </si>
  <si>
    <t>Divided into three procurement gates matching the commercial register: Stage 1 - Bid &amp; Tender, Stage 2 - Contract Award, Stage 3 - Pre-Construction. The earlier A-E lifecycle sections have been removed.</t>
  </si>
  <si>
    <t>Stage 1 - Bid &amp; Tender</t>
  </si>
  <si>
    <t>Stage 2 - Contract Award</t>
  </si>
  <si>
    <t>Documents submitted once the contract is awarded and Meridian is appointed to undertake the PCSA — the pre-con execution and delivery-control set (PEP, RACI, WBS, design programme, procurement/long-lead, technical-submission schedule). Deliberately lean: at appointment you issue how you'll run pre-con, not the design itself.</t>
  </si>
  <si>
    <t>Stage 3 - Pre-Construction</t>
  </si>
  <si>
    <t>Documents delivered on completion of pre-con — coordinated design, IFC technical packages, building-control compliance, procurement/work packages, final contract documents, commissioning and readiness.</t>
  </si>
  <si>
    <t>Sheets</t>
  </si>
  <si>
    <t>Read Me / Stage 1-3 checklists (views) / Design Folder Structure / Master Register (single source of truth, all 74) / Folder Coverage / Dashboard (live counts) / Guidance &amp; Lookups.</t>
  </si>
  <si>
    <t>Naming (proposed)</t>
  </si>
  <si>
    <t>Input fields</t>
  </si>
  <si>
    <t>Include in Pack?, Status, Priority, Due Date, Contributors, Storage Link and Notes are controlled input fields (dropdowns where relevant) — blank/defaulted, to be completed live. Not pre-populated with assumed values.</t>
  </si>
  <si>
    <t>Judgment calls</t>
  </si>
  <si>
    <t>Stage assignment on boundary items is a call, not a fact. Watch: 3.02 planning-conditions tracker (S1 as baseline vs S3 discharge), 3.14/3.18/3.19 final ER &amp; design-responsibility (placed S3 as contract-completion docs), 4.03 technical-submission schedule (S2 as a control). Move any of these in the Master Register and every view/count updates. Ref numbers (0.01-4.21) are the design team's own — preserved, do not overwrite.</t>
  </si>
  <si>
    <t>Documents submitted or required as part of the tender/bid process to secure the project. Spans both Meridian's tender submissions AND the client-issued tender information the bid is priced against.  Filtered view of the Master Register — edit items there, not here.</t>
  </si>
  <si>
    <t>Ref</t>
  </si>
  <si>
    <t>Pre-Construction Document / Deliverable</t>
  </si>
  <si>
    <t>Purpose / Assurance Provided</t>
  </si>
  <si>
    <t>Owner / Lead Party</t>
  </si>
  <si>
    <t>Folder (L2)</t>
  </si>
  <si>
    <t>TYPE</t>
  </si>
  <si>
    <t>Proposed File Name</t>
  </si>
  <si>
    <t>0.01</t>
  </si>
  <si>
    <t>Development Business Case and Development Appraisal</t>
  </si>
  <si>
    <t>Confirms the commercial case, development value and delivery assumptions.</t>
  </si>
  <si>
    <t>1.10 Development &amp; Investment Basis</t>
  </si>
  <si>
    <t>DEV</t>
  </si>
  <si>
    <t>0.02</t>
  </si>
  <si>
    <t>Client Strategic Brief</t>
  </si>
  <si>
    <t>0.03</t>
  </si>
  <si>
    <t>Site Acquisition and Due Diligence Summary</t>
  </si>
  <si>
    <t>Consolidates material site, title and development constraints.</t>
  </si>
  <si>
    <t>0.04</t>
  </si>
  <si>
    <t>Feasibility and Development Options Appraisal</t>
  </si>
  <si>
    <t>Records the options considered and why the approved development solution was selected.</t>
  </si>
  <si>
    <t>0.05</t>
  </si>
  <si>
    <t>Planning and Development Capacity Appraisal</t>
  </si>
  <si>
    <t>Records the planning policy and capacity basis preceding the approved permission.</t>
  </si>
  <si>
    <t>Initial Development Programme</t>
  </si>
  <si>
    <t>Sets the overall development, approvals, procurement and construction milestones.</t>
  </si>
  <si>
    <t>Development Risk, Abnormals and Procurement Strategy</t>
  </si>
  <si>
    <t>Combines the principal development risks with the intended procurement and contract route.</t>
  </si>
  <si>
    <t>1.01</t>
  </si>
  <si>
    <t>Developed Project Brief</t>
  </si>
  <si>
    <t>1.20 Project Brief &amp; Scope</t>
  </si>
  <si>
    <t>BRF</t>
  </si>
  <si>
    <t>1.02</t>
  </si>
  <si>
    <t>Development Specification and Quality Brief</t>
  </si>
  <si>
    <t>Defines the intended development-wide quality and performance standard.</t>
  </si>
  <si>
    <t>1.03</t>
  </si>
  <si>
    <t>Accommodation, Apartment Type and Area Schedule</t>
  </si>
  <si>
    <t>Controls the approved unit mix and project area data.</t>
  </si>
  <si>
    <t>1.09</t>
  </si>
  <si>
    <t>Survey Requirements and Existing Information Register</t>
  </si>
  <si>
    <t>Records required surveys and the status/reliability of existing information.</t>
  </si>
  <si>
    <t>1.30 Surveys, Planning &amp; Statutory Baseline</t>
  </si>
  <si>
    <t>PSB</t>
  </si>
  <si>
    <t>1.10</t>
  </si>
  <si>
    <t>Planning and Statutory Approval Information Register</t>
  </si>
  <si>
    <t>Creates the controlled index of the approved planning and statutory information.</t>
  </si>
  <si>
    <t>1.11</t>
  </si>
  <si>
    <t>Building Control Route and Transitional Regulations Record</t>
  </si>
  <si>
    <t>Records why the project proceeds under the confirmed previous/transitional regulations route.</t>
  </si>
  <si>
    <t>1.12</t>
  </si>
  <si>
    <t>Utilities, Sustainability, Energy and EPC Brief</t>
  </si>
  <si>
    <t>Defines utility capacity, infrastructure and performance requirements.</t>
  </si>
  <si>
    <t>1.40 Utilities &amp; Sustainability Brief</t>
  </si>
  <si>
    <t>UTB</t>
  </si>
  <si>
    <t>1.13</t>
  </si>
  <si>
    <t>Pre-Construction Information and CDM Design Risk Register</t>
  </si>
  <si>
    <t>Provides existing safety information and records significant design risks.</t>
  </si>
  <si>
    <t>1.14</t>
  </si>
  <si>
    <t>Outline Employer's Requirements</t>
  </si>
  <si>
    <t>2.01</t>
  </si>
  <si>
    <t>Concept Design Report and Concept Drawing Set</t>
  </si>
  <si>
    <t>Records the coordinated concept response to the Project Brief.</t>
  </si>
  <si>
    <t>1.50 Concept Design &amp; Performance</t>
  </si>
  <si>
    <t>CPT</t>
  </si>
  <si>
    <t>2.02</t>
  </si>
  <si>
    <t>Planning Application and Supporting Documents Register</t>
  </si>
  <si>
    <t>Indexes the historic application that achieved planning permission.</t>
  </si>
  <si>
    <t>2.03</t>
  </si>
  <si>
    <t>Updated Accommodation and Development Area Schedule</t>
  </si>
  <si>
    <t>Confirms the concept-stage unit and area data.</t>
  </si>
  <si>
    <t>2.04</t>
  </si>
  <si>
    <t>Structural, Civil and Drainage Concept Strategy</t>
  </si>
  <si>
    <t>Defines the structural form, foundations, drainage and civil engineering basis.</t>
  </si>
  <si>
    <t>2.05</t>
  </si>
  <si>
    <t>MEP Concept and Heating, Cooling and Ventilation Options Appraisal</t>
  </si>
  <si>
    <t>Defines the building-services strategy and records the system-selection decision.</t>
  </si>
  <si>
    <t>2.06</t>
  </si>
  <si>
    <t>Outline Fire and Life-Safety Strategy</t>
  </si>
  <si>
    <t>Defines the concept fire-safety basis for the non-HRB residential building.</t>
  </si>
  <si>
    <t>2.07</t>
  </si>
  <si>
    <t>Energy, SAP, EPC, Overheating and Acoustic Performance Strategy</t>
  </si>
  <si>
    <t>Combines key performance studies that influence the fabric and MEP design.</t>
  </si>
  <si>
    <t>2.08</t>
  </si>
  <si>
    <t>Access, External Works, Landscape, Parking, Refuse and Security Strategy</t>
  </si>
  <si>
    <t>Coordinates the main site and inclusive-access requirements.</t>
  </si>
  <si>
    <t>2.09</t>
  </si>
  <si>
    <t>Utilities, EV Charging, Solar PV and Incoming Services Strategy</t>
  </si>
  <si>
    <t>Defines capacities, connection routes and energy-infrastructure requirements.</t>
  </si>
  <si>
    <t>2.10</t>
  </si>
  <si>
    <t>Outline Specification and Updated Development Specification</t>
  </si>
  <si>
    <t>Defines the concept performance and quality requirements.</t>
  </si>
  <si>
    <t>2.11</t>
  </si>
  <si>
    <t>Concept Cost, Value Engineering and Funding Technical Pack</t>
  </si>
  <si>
    <t>Tests the concept against cost and funding requirements.</t>
  </si>
  <si>
    <t>2.12</t>
  </si>
  <si>
    <t>Design Strategy Compliance, Risk and Readiness Report</t>
  </si>
  <si>
    <t>Records whether the concept is sufficiently complete to proceed.</t>
  </si>
  <si>
    <t>3.01</t>
  </si>
  <si>
    <t>Planning Decision Notice and Approved Drawing/Document Register</t>
  </si>
  <si>
    <t>Establishes the definitive planning-approved baseline.</t>
  </si>
  <si>
    <t>3.02</t>
  </si>
  <si>
    <t>Planning Conditions, Section 106 and CIL Tracker</t>
  </si>
  <si>
    <t>Controls every planning condition and obligation by trigger date.</t>
  </si>
  <si>
    <t>3.15</t>
  </si>
  <si>
    <t>Statement of Works, Schedule of Works and Tender Scope Documents</t>
  </si>
  <si>
    <t>Defines the works and tender information at project/package level.</t>
  </si>
  <si>
    <t>1.60 Tender Scope &amp; Contractor's Proposals</t>
  </si>
  <si>
    <t>TEN</t>
  </si>
  <si>
    <t>3.16</t>
  </si>
  <si>
    <t>Tender Contractor's Proposals</t>
  </si>
  <si>
    <t>Sets out Meridian's tender response to the Employer's Requirements.</t>
  </si>
  <si>
    <t>Meridian</t>
  </si>
  <si>
    <t>3.17</t>
  </si>
  <si>
    <t>ER/CP Compliance, Qualification and Departure Schedule</t>
  </si>
  <si>
    <t>Reconciles the Contractor's Proposals against every relevant ER requirement.</t>
  </si>
  <si>
    <t>Documents submitted once the contract is awarded and Meridian is appointed to undertake the PCSA — the pre-construction execution and delivery-control set.  Filtered view of the Master Register — edit items there, not here.</t>
  </si>
  <si>
    <t>1.04</t>
  </si>
  <si>
    <t>Project Execution Plan, Organisation and Appointment Schedule</t>
  </si>
  <si>
    <t>Defines project governance, reporting, appointments and decision routes.</t>
  </si>
  <si>
    <t>2.10 Pre-Con Execution &amp; Governance</t>
  </si>
  <si>
    <t>PEG</t>
  </si>
  <si>
    <t>1.05</t>
  </si>
  <si>
    <t>Design Responsibility Matrix and RACI</t>
  </si>
  <si>
    <t>Allocates design, coordination, review and acceptance responsibility.</t>
  </si>
  <si>
    <t>1.06</t>
  </si>
  <si>
    <t>Work Breakdown Structure and Scope Breakdown</t>
  </si>
  <si>
    <t>Structures the project by system, trade, package and deliverable.</t>
  </si>
  <si>
    <t>1.07</t>
  </si>
  <si>
    <t>Design Programme and Information Release Schedule</t>
  </si>
  <si>
    <t>Baselines design deliverables and approval periods against project need-by dates.</t>
  </si>
  <si>
    <t>2.20 Design Programme &amp; Procurement</t>
  </si>
  <si>
    <t>DPP</t>
  </si>
  <si>
    <t>1.08</t>
  </si>
  <si>
    <t>Design Procurement and Long-Lead Schedule</t>
  </si>
  <si>
    <t>Links appointments and procurement to required design outputs.</t>
  </si>
  <si>
    <t>4.03</t>
  </si>
  <si>
    <t>Master Design Delivery and Technical Submission Schedule</t>
  </si>
  <si>
    <t>Controls all Technical Design design, review and approval dates.</t>
  </si>
  <si>
    <t>Documents delivered on completion of the pre-construction phase — the coordinated and technical information that readies the works for construction, including the final contract documents.  Filtered view of the Master Register — edit items there, not here.</t>
  </si>
  <si>
    <t>3.03</t>
  </si>
  <si>
    <t>Spatial Coordination Report</t>
  </si>
  <si>
    <t>Records the coordinated design status and unresolved interfaces.</t>
  </si>
  <si>
    <t>3.10 Coordinated Design Packages</t>
  </si>
  <si>
    <t>CRD</t>
  </si>
  <si>
    <t>3.04</t>
  </si>
  <si>
    <t>Coordinated Architectural Design Package</t>
  </si>
  <si>
    <t>Provides the controlled spatial and planning-compliant architectural design.</t>
  </si>
  <si>
    <t>3.05</t>
  </si>
  <si>
    <t>Coordinated Structural, Civil, Drainage and Levels Package</t>
  </si>
  <si>
    <t>Coordinates primary engineering, drainage and external levels.</t>
  </si>
  <si>
    <t>Relevant engineers</t>
  </si>
  <si>
    <t>3.06</t>
  </si>
  <si>
    <t>Coordinated MEP and Final Heating/Ventilation Strategy</t>
  </si>
  <si>
    <t>Coordinates services in space and freezes the principal systems.</t>
  </si>
  <si>
    <t>MEP Designer</t>
  </si>
  <si>
    <t>3.07</t>
  </si>
  <si>
    <t>Developed Fire, Compartmentation and Building Regulations Compliance Package</t>
  </si>
  <si>
    <t>Coordinates the fire and Building Regulations design basis.</t>
  </si>
  <si>
    <t>Relevant designers</t>
  </si>
  <si>
    <t>3.08</t>
  </si>
  <si>
    <t>SOCOTEC Submission, Comments and Actions Register</t>
  </si>
  <si>
    <t>Controls Building Control information and responses.</t>
  </si>
  <si>
    <t>3.30 Building Control &amp; Compliance</t>
  </si>
  <si>
    <t>BCC</t>
  </si>
  <si>
    <t>3.09</t>
  </si>
  <si>
    <t>Apartment Type, Area, Sales and Purchaser Information Pack</t>
  </si>
  <si>
    <t>Maintains one controlled residential product and sales basis.</t>
  </si>
  <si>
    <t>3.20 Detailed Specs, Product &amp; Sales</t>
  </si>
  <si>
    <t>SPC</t>
  </si>
  <si>
    <t>3.10</t>
  </si>
  <si>
    <t>External Works, Landscape, Parking, Refuse and Access Package</t>
  </si>
  <si>
    <t>Coordinates the approved site design and interfaces.</t>
  </si>
  <si>
    <t>3.11</t>
  </si>
  <si>
    <t>Utilities, EV, PV and Incoming Services Coordination Pack</t>
  </si>
  <si>
    <t>Coordinates connection requirements with the building and site design.</t>
  </si>
  <si>
    <t>3.12</t>
  </si>
  <si>
    <t>BIM, Clash Detection and Interface Resolution Report</t>
  </si>
  <si>
    <t>Defines model responsibilities and records coordination outcomes where BIM is used.</t>
  </si>
  <si>
    <t>3.13</t>
  </si>
  <si>
    <t>Detailed Specifications, Finishes and Room Data Schedules</t>
  </si>
  <si>
    <t>Defines the coordinated quality, performance and room requirements.</t>
  </si>
  <si>
    <t>3.14</t>
  </si>
  <si>
    <t>Final Employer's Requirements</t>
  </si>
  <si>
    <t>3.40 Final Contract Documents</t>
  </si>
  <si>
    <t>FCD</t>
  </si>
  <si>
    <t>3.18</t>
  </si>
  <si>
    <t>Final Design Responsibility and CDP Matrix</t>
  </si>
  <si>
    <t>Allocates all contractor, consultant and specialist design obligations.</t>
  </si>
  <si>
    <t>3.19</t>
  </si>
  <si>
    <t>Design Freeze, Change Control and Coordination Readiness Report</t>
  </si>
  <si>
    <t>Records the frozen baseline and authority to proceed to technical design.</t>
  </si>
  <si>
    <t>4.01</t>
  </si>
  <si>
    <t>Final Contract Contractor's Proposals</t>
  </si>
  <si>
    <t>Provides the final controlled Contractor-side contract design and scope response.</t>
  </si>
  <si>
    <t>4.02</t>
  </si>
  <si>
    <t>Final ER/CP Compliance, Departure and Clarification Schedule</t>
  </si>
  <si>
    <t>Maintains the executed contractual reconciliation between ERs and CPs.</t>
  </si>
  <si>
    <t>4.04</t>
  </si>
  <si>
    <t>IFC Architectural Technical Design Package</t>
  </si>
  <si>
    <t>Provides coordinated architectural information suitable for construction.</t>
  </si>
  <si>
    <t>Meridian / appointed architectural designer</t>
  </si>
  <si>
    <t>3.50 IFC Technical Packages</t>
  </si>
  <si>
    <t>IFC</t>
  </si>
  <si>
    <t>4.05</t>
  </si>
  <si>
    <t>IFC Structural, Civil, Drainage and Levels Package</t>
  </si>
  <si>
    <t>Provides coordinated engineering information suitable for construction.</t>
  </si>
  <si>
    <t>4.06</t>
  </si>
  <si>
    <t>IFC MEP and Heating, Cooling, Ventilation Technical Package</t>
  </si>
  <si>
    <t>Provides coordinated building-services design suitable for installation.</t>
  </si>
  <si>
    <t>MEP / specialist designers</t>
  </si>
  <si>
    <t>4.07</t>
  </si>
  <si>
    <t>Detailed Fire, Compartmentation and Fire-Stopping Package</t>
  </si>
  <si>
    <t>Converts the fire strategy into coordinated construction information.</t>
  </si>
  <si>
    <t>4.08</t>
  </si>
  <si>
    <t>Envelope, Roof, Balcony, Window and External Door Technical Package</t>
  </si>
  <si>
    <t>Coordinates the complete weather, thermal and external-envelope design.</t>
  </si>
  <si>
    <t>Relevant designers / CDP specialists</t>
  </si>
  <si>
    <t>4.09</t>
  </si>
  <si>
    <t>Apartment, Kitchen, Bathroom, Door and Finishes Technical Package</t>
  </si>
  <si>
    <t>Coordinates the residential product and internal finishes for procurement and construction.</t>
  </si>
  <si>
    <t>Meridian / relevant designers</t>
  </si>
  <si>
    <t>4.10</t>
  </si>
  <si>
    <t>Utilities, EV, PV, Water and Sprinkler Technical Package</t>
  </si>
  <si>
    <t>Coordinates final infrastructure and connection design.</t>
  </si>
  <si>
    <t>4.11</t>
  </si>
  <si>
    <t>Building Regulations, Transitional Evidence and Detailed Compliance Matrix</t>
  </si>
  <si>
    <t>Maintains the formal regulatory basis and designer evidence.</t>
  </si>
  <si>
    <t>4.12</t>
  </si>
  <si>
    <t>SOCOTEC Submission, Comments, Approval and Inspection Tracker</t>
  </si>
  <si>
    <t>Controls all Building Control submissions, comments, inspections and completion actions.</t>
  </si>
  <si>
    <t>4.13</t>
  </si>
  <si>
    <t>Work Package Schedule, Procurement Schedule and Work Package Documents</t>
  </si>
  <si>
    <t>Controls the package list, procurement dates and the actual technical/commercial work packages.</t>
  </si>
  <si>
    <t>3.60 Procurement &amp; Specialist Design</t>
  </si>
  <si>
    <t>PSD</t>
  </si>
  <si>
    <t>4.14</t>
  </si>
  <si>
    <t>Specialist and Contractor Design Portion Submissions</t>
  </si>
  <si>
    <t>Integrates specialist design into the permanent works.</t>
  </si>
  <si>
    <t>Meridian / CDP specialists</t>
  </si>
  <si>
    <t>4.15</t>
  </si>
  <si>
    <t>Technical Submittal, Material Approval, Sample and Benchmark Register</t>
  </si>
  <si>
    <t>Controls products and quality standards before order or installation.</t>
  </si>
  <si>
    <t>4.16</t>
  </si>
  <si>
    <t>Builders' Work, Openings, Penetrations, Clash and Interface Register</t>
  </si>
  <si>
    <t>Coordinates physical interfaces before structure and partitions are released.</t>
  </si>
  <si>
    <t>4.17</t>
  </si>
  <si>
    <t>Planning Condition Discharge, Amendment and Compliance Register</t>
  </si>
  <si>
    <t>Controls remaining conditions and any departure from the approved planning design.</t>
  </si>
  <si>
    <t>3.70 Planning Discharge, Risk &amp; Change</t>
  </si>
  <si>
    <t>PRC</t>
  </si>
  <si>
    <t>4.18</t>
  </si>
  <si>
    <t>Design Risk, Temporary/Permanent Works Interface and Residual Risk Register</t>
  </si>
  <si>
    <t>Controls design-stage construction and maintenance risks.</t>
  </si>
  <si>
    <t>CDM Principal Designer / Meridian</t>
  </si>
  <si>
    <t>4.19</t>
  </si>
  <si>
    <t>RFI, Technical Query, Design Change and Decision Registers</t>
  </si>
  <si>
    <t>Controls design queries and all change from the frozen baseline.</t>
  </si>
  <si>
    <t>4.20</t>
  </si>
  <si>
    <t>Testing, Commissioning, As-Built, O&amp;M and Handover Information Strategy</t>
  </si>
  <si>
    <t>Defines completion evidence before procurement and installation.</t>
  </si>
  <si>
    <t>3.80 Commissioning &amp; Readiness</t>
  </si>
  <si>
    <t>CMR</t>
  </si>
  <si>
    <t>4.21</t>
  </si>
  <si>
    <t>Technical Design Readiness Report</t>
  </si>
  <si>
    <t>Records whether each package is ready for procurement and construction.</t>
  </si>
  <si>
    <t>Design Delivery — Folder Structure (Proposed)</t>
  </si>
  <si>
    <t>L1 = procurement stage; L2 = deliverable grouping. Aligned to the 3-stage spine for simplicity. Confirm before adopting.</t>
  </si>
  <si>
    <t>L1 Code</t>
  </si>
  <si>
    <t>Level 1 Folder (Stage)</t>
  </si>
  <si>
    <t>L2 Code</t>
  </si>
  <si>
    <t>Level 2 Folder</t>
  </si>
  <si>
    <t>Lead Owner</t>
  </si>
  <si>
    <t>Items</t>
  </si>
  <si>
    <t>1.0</t>
  </si>
  <si>
    <t>Development &amp; Investment Basis</t>
  </si>
  <si>
    <t>1.20</t>
  </si>
  <si>
    <t>Project Brief &amp; Scope</t>
  </si>
  <si>
    <t>1.30</t>
  </si>
  <si>
    <t>Surveys, Planning &amp; Statutory Baseline</t>
  </si>
  <si>
    <t>1.40</t>
  </si>
  <si>
    <t>Utilities &amp; Sustainability Brief</t>
  </si>
  <si>
    <t>1.50</t>
  </si>
  <si>
    <t>Concept Design &amp; Performance</t>
  </si>
  <si>
    <t>1.60</t>
  </si>
  <si>
    <t>Tender Scope &amp; Contractor's Proposals</t>
  </si>
  <si>
    <t>2.0</t>
  </si>
  <si>
    <t>Pre-Con Execution &amp; Governance</t>
  </si>
  <si>
    <t>2.20</t>
  </si>
  <si>
    <t>Design Programme &amp; Procurement</t>
  </si>
  <si>
    <t>3.0</t>
  </si>
  <si>
    <t>Coordinated Design Packages</t>
  </si>
  <si>
    <t>3.20</t>
  </si>
  <si>
    <t>Detailed Specs, Product &amp; Sales</t>
  </si>
  <si>
    <t>3.30</t>
  </si>
  <si>
    <t>Building Control &amp; Compliance</t>
  </si>
  <si>
    <t>3.40</t>
  </si>
  <si>
    <t>Final Contract Documents</t>
  </si>
  <si>
    <t>3.50</t>
  </si>
  <si>
    <t>IFC Technical Packages</t>
  </si>
  <si>
    <t>3.60</t>
  </si>
  <si>
    <t>Procurement &amp; Specialist Design</t>
  </si>
  <si>
    <t>3.70</t>
  </si>
  <si>
    <t>Planning Discharge, Risk &amp; Change</t>
  </si>
  <si>
    <t>3.80</t>
  </si>
  <si>
    <t>Commissioning &amp; Readiness</t>
  </si>
  <si>
    <t>Stage</t>
  </si>
  <si>
    <t>Include in Pack?</t>
  </si>
  <si>
    <t>Status</t>
  </si>
  <si>
    <t>Priority</t>
  </si>
  <si>
    <t>Contributors</t>
  </si>
  <si>
    <t>Audience</t>
  </si>
  <si>
    <t>Due Date</t>
  </si>
  <si>
    <t>Current Version</t>
  </si>
  <si>
    <t>Storage Link / File Ref</t>
  </si>
  <si>
    <t>Source / Basis</t>
  </si>
  <si>
    <t>Notes / Action</t>
  </si>
  <si>
    <t>Level 1 Folder</t>
  </si>
  <si>
    <t>TBC</t>
  </si>
  <si>
    <t>Not Started</t>
  </si>
  <si>
    <t>Rev P01</t>
  </si>
  <si>
    <t>Design Delivery Register Rev P01</t>
  </si>
  <si>
    <t>Folder Coverage — items per stage</t>
  </si>
  <si>
    <t>TOTAL</t>
  </si>
  <si>
    <t>Live counts off the Master Register. Set Include / Status / Priority / Due Date there and these update.</t>
  </si>
  <si>
    <t>Control</t>
  </si>
  <si>
    <t>Count</t>
  </si>
  <si>
    <t>Progress</t>
  </si>
  <si>
    <t>Result</t>
  </si>
  <si>
    <t>Total deliverables</t>
  </si>
  <si>
    <t>Applicability reviewed</t>
  </si>
  <si>
    <t>Included - Yes</t>
  </si>
  <si>
    <t>Completed</t>
  </si>
  <si>
    <t>Excluded - No</t>
  </si>
  <si>
    <t>In progress</t>
  </si>
  <si>
    <t>Still TBC</t>
  </si>
  <si>
    <t>Not started</t>
  </si>
  <si>
    <t>Critical priority</t>
  </si>
  <si>
    <t>Overdue open</t>
  </si>
  <si>
    <t>Deliverables by owner / lead party</t>
  </si>
  <si>
    <t>Deliverables by stage</t>
  </si>
  <si>
    <t>Documents</t>
  </si>
  <si>
    <t>How to Use This Register</t>
  </si>
  <si>
    <t>Field</t>
  </si>
  <si>
    <t>Required use</t>
  </si>
  <si>
    <t>Do not do</t>
  </si>
  <si>
    <t>Owner / Lead Party Lookup</t>
  </si>
  <si>
    <t>Values</t>
  </si>
  <si>
    <t>Set by procurement gate: 1 Bid &amp; Tender / 2 Contract Award / 3 Pre-Construction.</t>
  </si>
  <si>
    <t>Do not leave a deliverable unstaged — every item must sit in one gate.</t>
  </si>
  <si>
    <t>Yes</t>
  </si>
  <si>
    <t>Set Yes / No / TBC once applicability is confirmed.</t>
  </si>
  <si>
    <t>Do not leave items at TBC once scope is fixed.</t>
  </si>
  <si>
    <t>No</t>
  </si>
  <si>
    <t>Not Started / In Progress / Complete against actual issue status.</t>
  </si>
  <si>
    <t>Do not mark Complete before formal issue/acceptance.</t>
  </si>
  <si>
    <t>Critical / High / Medium by delivery risk. Left blank deliberately — source register carried no priority.</t>
  </si>
  <si>
    <t>Do not invent criticality; base it on programme need-by dates.</t>
  </si>
  <si>
    <t>Verbatim from source. Note Stage 1 mixes Meridian submissions and client tender info.</t>
  </si>
  <si>
    <t>In Progress</t>
  </si>
  <si>
    <t>Link to the design programme / information release need-by date.</t>
  </si>
  <si>
    <t>Do not use arbitrary dates disconnected from programme.</t>
  </si>
  <si>
    <t>Complete</t>
  </si>
  <si>
    <t>TYPE / File Name</t>
  </si>
  <si>
    <t>Do not overwrite the design Ref (0.01-4.21).</t>
  </si>
  <si>
    <t>Critical</t>
  </si>
  <si>
    <t>High</t>
  </si>
  <si>
    <t>Medium</t>
  </si>
  <si>
    <t>Controls all Technical Design , Design review and approval dates.</t>
  </si>
  <si>
    <t>PROJ-DDR-DEV-0001_DevelopmentBusinessCaseAndDe</t>
  </si>
  <si>
    <t>PROJ-DDR-DEV-0002_ClientStrategicBrief</t>
  </si>
  <si>
    <t>PROJ-DDR-DEV-0003_SiteAcquisitionAndDueDiligen</t>
  </si>
  <si>
    <t>PROJ-DDR-DEV-0004_FeasibilityAndDevelopmentOpt</t>
  </si>
  <si>
    <t>PROJ-DDR-DEV-0005_PlanningAndDevelopmentCapaci</t>
  </si>
  <si>
    <t>PROJ-DDR-DEV-0007_InitialDevelopmentProgramme</t>
  </si>
  <si>
    <t>PROJ-DDR-DEV-0008_DevelopmentRiskAbnormalsAndP</t>
  </si>
  <si>
    <t>PROJ-DDR-BRF-0001_DevelopedProjectBrief</t>
  </si>
  <si>
    <t>PROJ-DDR-BRF-0002_DevelopmentSpecificationAndQ</t>
  </si>
  <si>
    <t>PROJ-DDR-BRF-0003_AccommodationApartmentTypeAn</t>
  </si>
  <si>
    <t>PROJ-DDR-PSB-0001_SurveyRequirementsAndExistin</t>
  </si>
  <si>
    <t>PROJ-DDR-PSB-0002_PlanningAndStatutoryApproval</t>
  </si>
  <si>
    <t>PROJ-DDR-PSB-0003_BuildingControlRouteAndTrans</t>
  </si>
  <si>
    <t>PROJ-DDR-UTB-0001_UtilitiesSustainabilityEnerg</t>
  </si>
  <si>
    <t>PROJ-DDR-PSB-0004_PreConstructionInformationAn</t>
  </si>
  <si>
    <t>PROJ-DDR-BRF-0004_OutlineEmployerSRequirements</t>
  </si>
  <si>
    <t>PROJ-DDR-PSB-0005_PlanningApplicationAndSuppor</t>
  </si>
  <si>
    <t>PROJ-DDR-CPT-0004_MEPConceptAndHeatingCoolingA</t>
  </si>
  <si>
    <t>PROJ-DDR-PSB-0006_PlanningDecisionNoticeAndApp</t>
  </si>
  <si>
    <t>PROJ-DDR-PSB-0007_PlanningConditionsSection106</t>
  </si>
  <si>
    <t>PROJ-DDR-PEG-0001_ProjectExecutionPlanOrganisa</t>
  </si>
  <si>
    <t>PROJ-DDR-PEG-0002_DesignResponsibilityMatrixAn</t>
  </si>
  <si>
    <t>PROJ-DDR-PEG-0003_WorkBreakdownStructureAndSco</t>
  </si>
  <si>
    <t>PROJ-DDR-DPP-0001_DesignProgrammeAndInformatio</t>
  </si>
  <si>
    <t>PROJ-DDR-DPP-0002_DesignProcurementAndLongLead</t>
  </si>
  <si>
    <t>PROJ-DDR-CPT-0001_ConceptDesignReportAndConcep</t>
  </si>
  <si>
    <t>PROJ-DDR-CPT-0002_UpdatedAccommodationAndDevel</t>
  </si>
  <si>
    <t>PROJ-DDR-CPT-0003_StructuralCivilAndDrainageCo</t>
  </si>
  <si>
    <t>PROJ-DDR-CPT-0005_OutlineFireAndLifeSafetyStra</t>
  </si>
  <si>
    <t>PROJ-DDR-CPT-0006_EnergySAPEPCOverheatingAndAc</t>
  </si>
  <si>
    <t>PROJ-DDR-CPT-0007_AccessExternalWorksLandscape</t>
  </si>
  <si>
    <t>PROJ-DDR-CPT-0008_UtilitiesEVChargingSolarPVAn</t>
  </si>
  <si>
    <t>PROJ-DDR-CPT-0009_OutlineSpecificationAndUpdat</t>
  </si>
  <si>
    <t>PROJ-DDR-CPT-0010_ConceptCostValueEngineeringA</t>
  </si>
  <si>
    <t>PROJ-DDR-CPT-0011_DesignStrategyComplianceRisk</t>
  </si>
  <si>
    <t>PROJ-DDR-TEN-0001_StatementOfWorksScheduleOfWo</t>
  </si>
  <si>
    <t>PROJ-DDR-TEN-0002_TenderContractorSProposals</t>
  </si>
  <si>
    <t>PROJ-DDR-TEN-0003_ERCPComplianceQualificationA</t>
  </si>
  <si>
    <t>PROJ-DDR-DPP-0003_MasterDesignDeliveryAndTechn</t>
  </si>
  <si>
    <t>PROJ-DDR-CRD-0001_SpatialCoordinationReport</t>
  </si>
  <si>
    <t>PROJ-DDR-CRD-0002_CoordinatedArchitecturalDesi</t>
  </si>
  <si>
    <t>PROJ-DDR-CRD-0003_CoordinatedStructuralCivilDr</t>
  </si>
  <si>
    <t>PROJ-DDR-CRD-0004_CoordinatedMEPAndFinalHeatin</t>
  </si>
  <si>
    <t>PROJ-DDR-CRD-0005_DevelopedFireCompartmentatio</t>
  </si>
  <si>
    <t>PROJ-DDR-BCC-0001_SOCOTECSubmissionCommentsAnd</t>
  </si>
  <si>
    <t>PROJ-DDR-SPC-0001_ApartmentTypeAreaSalesAndPur</t>
  </si>
  <si>
    <t>PROJ-DDR-CRD-0006_ExternalWorksLandscapeParkin</t>
  </si>
  <si>
    <t>PROJ-DDR-CRD-0007_UtilitiesEVPVAndIncomingServ</t>
  </si>
  <si>
    <t>PROJ-DDR-CRD-0008_BIMClashDetectionAndInterfac</t>
  </si>
  <si>
    <t>PROJ-DDR-SPC-0002_DetailedSpecificationsFinish</t>
  </si>
  <si>
    <t>PROJ-DDR-FCD-0001_FinalEmployerSRequirements</t>
  </si>
  <si>
    <t>PROJ-DDR-FCD-0002_FinalDesignResponsibilityAnd</t>
  </si>
  <si>
    <t>PROJ-DDR-FCD-0003_DesignFreezeChangeControlAnd</t>
  </si>
  <si>
    <t>PROJ-DDR-FCD-0004_FinalContractContractorSProp</t>
  </si>
  <si>
    <t>PROJ-DDR-FCD-0005_FinalERCPComplianceDeparture</t>
  </si>
  <si>
    <t>PROJ-DDR-IFC-0001_IFCArchitecturalTechnicalDes</t>
  </si>
  <si>
    <t>PROJ-DDR-IFC-0002_IFCStructuralCivilDrainageAn</t>
  </si>
  <si>
    <t>PROJ-DDR-IFC-0003_IFCMEPAndHeatingCoolingVenti</t>
  </si>
  <si>
    <t>PROJ-DDR-IFC-0004_DetailedFireCompartmentation</t>
  </si>
  <si>
    <t>PROJ-DDR-IFC-0005_EnvelopeRoofBalconyWindowAnd</t>
  </si>
  <si>
    <t>PROJ-DDR-IFC-0006_ApartmentKitchenBathroomDoor</t>
  </si>
  <si>
    <t>PROJ-DDR-IFC-0007_UtilitiesEVPVWaterAndSprinkl</t>
  </si>
  <si>
    <t>PROJ-DDR-BCC-0002_BuildingRegulationsTransitio</t>
  </si>
  <si>
    <t>PROJ-DDR-BCC-0003_SOCOTECSubmissionCommentsApp</t>
  </si>
  <si>
    <t>PROJ-DDR-PSD-0001_WorkPackageScheduleProcureme</t>
  </si>
  <si>
    <t>PROJ-DDR-PSD-0002_SpecialistAndContractorDesig</t>
  </si>
  <si>
    <t>PROJ-DDR-PSD-0003_TechnicalSubmittalMaterialAp</t>
  </si>
  <si>
    <t>PROJ-DDR-PSD-0004_BuildersWorkOpeningsPenetrat</t>
  </si>
  <si>
    <t>PROJ-DDR-PRC-0001_PlanningConditionDischargeAm</t>
  </si>
  <si>
    <t>PROJ-DDR-PRC-0002_DesignRiskTemporaryPermanent</t>
  </si>
  <si>
    <t>PROJ-DDR-PRC-0003_RFITechnicalQueryDesignChang</t>
  </si>
  <si>
    <t>PROJ-DDR-CMR-0001_TestingCommissioningAsBuiltO</t>
  </si>
  <si>
    <t>PROJ-DDR-CMR-0002_TechnicalDesignReadinessRepo</t>
  </si>
  <si>
    <t>PROJ Canalside Regency — Pre-Construction Delivery Master Register</t>
  </si>
  <si>
    <t>PROJ Pre-Construction Delivery — Dashboard</t>
  </si>
  <si>
    <t>Proposed PROJ-DDR-[TYPE]-[####]. Confirm before adopting.</t>
  </si>
  <si>
    <t>Documents submitted or required as part of the tender/bid to secure the project. NOTE: this stage spans both Meridian's own tender submissions and the client-issued tender information the bid is priced against (much of it Client-owned). Filter on the Owner column if you need only Meridian submissions.</t>
  </si>
  <si>
    <t>PROJ-DDR-[TYPE]-[####]_[Title]. DDR = Design Delivery Register; each L2 folder has a unique TYPE. Proposed convention — confirm before issuing. Meridian-commercial (MCR-CM) codes are deliberately NOT used, as most items are Client/design-team owned.</t>
  </si>
  <si>
    <t>Client</t>
  </si>
  <si>
    <t>Defines Client's required project outcomes and success criteria.</t>
  </si>
  <si>
    <t>Translates Client's objectives into coordinated, measurable project requirements.</t>
  </si>
  <si>
    <t>Client / CDM Principal Designer</t>
  </si>
  <si>
    <t>Establishes the structure and content of Client's contractual requirements.</t>
  </si>
  <si>
    <t>Client initially / Meridian post-appointment</t>
  </si>
  <si>
    <t>Client / Meridian</t>
  </si>
  <si>
    <t>States Client's final contractual scope, performance and information requirements.</t>
  </si>
  <si>
    <t>Meridian / Client</t>
  </si>
  <si>
    <t>Client / design team</t>
  </si>
  <si>
    <t>Client initially</t>
  </si>
  <si>
    <t>Do not silently re-assign a Client/designer deliverable to Meridian.</t>
  </si>
  <si>
    <t>PROJ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</si>
</sst>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1F3864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color rgb="FF595959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1F3864"/>
      <name val="Calibri"/>
      <family val="2"/>
    </font>
    <font>
      <b/>
      <sz val="11"/>
      <color rgb="FF1F2937"/>
      <name val="Calibri"/>
      <family val="2"/>
    </font>
    <font>
      <b/>
      <sz val="11"/>
      <color rgb="FF1F4E7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B4C6E7"/>
        <bgColor rgb="FFBFBFBF"/>
      </patternFill>
    </fill>
    <fill>
      <patternFill patternType="solid">
        <fgColor rgb="FF44546A"/>
        <bgColor rgb="FF595959"/>
      </patternFill>
    </fill>
    <fill>
      <patternFill patternType="solid">
        <fgColor rgb="FF1F4E78"/>
        <bgColor rgb="FF1F3864"/>
      </patternFill>
    </fill>
    <fill>
      <patternFill patternType="solid">
        <fgColor rgb="FFF3F6F9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9" fontId="9" fillId="0" borderId="1" xfId="0" applyNumberFormat="1" applyFont="1" applyBorder="1" applyAlignment="1">
      <alignment horizontal="center" vertical="center" wrapText="1"/>
    </xf>
    <xf numFmtId="0" fontId="7" fillId="0" borderId="0" xfId="0" applyFont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0" borderId="0" xfId="0" applyFont="1"/>
    <xf numFmtId="0" fontId="4" fillId="0" borderId="0" xfId="0" applyFont="1" applyAlignment="1">
      <alignment vertical="top" wrapText="1"/>
    </xf>
    <xf numFmtId="0" fontId="4" fillId="0" borderId="0" xfId="0" applyFont="1"/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3F6F9"/>
      <rgbColor rgb="FFCCFFFF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44546A"/>
      <rgbColor rgb="FF993300"/>
      <rgbColor rgb="FF993366"/>
      <rgbColor rgb="FF1F4E78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CFA3B61-BB61-4BF2-9A23-0D44BAF6344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39c0838-e902-4585-b55c-d16fe202378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showGridLines="0" zoomScaleNormal="100" workbookViewId="0">
      <selection activeCell="B2" sqref="B2"/>
    </sheetView>
  </sheetViews>
  <sheetFormatPr defaultColWidth="8.6640625" defaultRowHeight="14.25" x14ac:dyDescent="0.45"/>
  <cols>
    <col min="1" max="1" width="22" customWidth="1"/>
    <col min="2" max="2" width="104" customWidth="1"/>
  </cols>
  <sheetData>
    <row r="1" spans="1:2" ht="18" x14ac:dyDescent="0.55000000000000004">
      <c r="A1" s="2" t="s">
        <v>0</v>
      </c>
    </row>
    <row r="2" spans="1:2" ht="30.1" customHeight="1" x14ac:dyDescent="0.45">
      <c r="A2" s="3" t="s">
        <v>1</v>
      </c>
      <c r="B2" s="4" t="s">
        <v>476</v>
      </c>
    </row>
    <row r="3" spans="1:2" ht="45" customHeight="1" x14ac:dyDescent="0.45">
      <c r="A3" s="3" t="s">
        <v>2</v>
      </c>
      <c r="B3" s="4" t="s">
        <v>3</v>
      </c>
    </row>
    <row r="4" spans="1:2" ht="45" customHeight="1" x14ac:dyDescent="0.45">
      <c r="A4" s="3" t="s">
        <v>4</v>
      </c>
      <c r="B4" s="4" t="s">
        <v>5</v>
      </c>
    </row>
    <row r="5" spans="1:2" ht="59.95" customHeight="1" x14ac:dyDescent="0.45">
      <c r="A5" s="3" t="s">
        <v>6</v>
      </c>
      <c r="B5" s="4" t="s">
        <v>462</v>
      </c>
    </row>
    <row r="6" spans="1:2" ht="59.95" customHeight="1" x14ac:dyDescent="0.45">
      <c r="A6" s="3" t="s">
        <v>7</v>
      </c>
      <c r="B6" s="4" t="s">
        <v>8</v>
      </c>
    </row>
    <row r="7" spans="1:2" ht="45" customHeight="1" x14ac:dyDescent="0.45">
      <c r="A7" s="3" t="s">
        <v>9</v>
      </c>
      <c r="B7" s="4" t="s">
        <v>10</v>
      </c>
    </row>
    <row r="8" spans="1:2" ht="30.1" customHeight="1" x14ac:dyDescent="0.45">
      <c r="A8" s="3" t="s">
        <v>11</v>
      </c>
      <c r="B8" s="4" t="s">
        <v>12</v>
      </c>
    </row>
    <row r="9" spans="1:2" ht="45" customHeight="1" x14ac:dyDescent="0.45">
      <c r="A9" s="3" t="s">
        <v>13</v>
      </c>
      <c r="B9" s="4" t="s">
        <v>463</v>
      </c>
    </row>
    <row r="10" spans="1:2" ht="45" customHeight="1" x14ac:dyDescent="0.45">
      <c r="A10" s="3" t="s">
        <v>14</v>
      </c>
      <c r="B10" s="4" t="s">
        <v>15</v>
      </c>
    </row>
    <row r="11" spans="1:2" ht="75.099999999999994" customHeight="1" x14ac:dyDescent="0.45">
      <c r="A11" s="3" t="s">
        <v>16</v>
      </c>
      <c r="B11" s="4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showGridLines="0" zoomScaleNormal="100" workbookViewId="0">
      <pane ySplit="5" topLeftCell="A6" activePane="bottomLeft" state="frozen"/>
      <selection pane="bottomLeft" activeCell="A6" sqref="A6:B25"/>
    </sheetView>
  </sheetViews>
  <sheetFormatPr defaultColWidth="8.6640625" defaultRowHeight="14.25" x14ac:dyDescent="0.45"/>
  <cols>
    <col min="1" max="1" width="9" customWidth="1"/>
    <col min="2" max="2" width="40" customWidth="1"/>
    <col min="3" max="3" width="50" customWidth="1"/>
    <col min="4" max="4" width="24" customWidth="1"/>
    <col min="5" max="5" width="30" customWidth="1"/>
    <col min="6" max="6" width="8" customWidth="1"/>
    <col min="7" max="7" width="40" customWidth="1"/>
  </cols>
  <sheetData>
    <row r="1" spans="1:7" ht="19.600000000000001" customHeight="1" x14ac:dyDescent="0.55000000000000004">
      <c r="A1" s="2" t="s">
        <v>6</v>
      </c>
    </row>
    <row r="2" spans="1:7" x14ac:dyDescent="0.45">
      <c r="A2" s="1" t="str">
        <f>COUNTIF('Master Register'!$B$4:$B$76,$A$1)&amp;" deliverables   ·   Rev P01"</f>
        <v>20 deliverables   ·   Rev P01</v>
      </c>
    </row>
    <row r="3" spans="1:7" ht="45" customHeight="1" x14ac:dyDescent="0.45">
      <c r="A3" s="22" t="s">
        <v>18</v>
      </c>
      <c r="B3" s="22"/>
      <c r="C3" s="22"/>
      <c r="D3" s="22"/>
      <c r="E3" s="22"/>
      <c r="F3" s="22"/>
      <c r="G3" s="22"/>
    </row>
    <row r="5" spans="1:7" ht="30.1" customHeight="1" x14ac:dyDescent="0.45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</row>
    <row r="6" spans="1:7" ht="30.1" customHeight="1" x14ac:dyDescent="0.45">
      <c r="A6" s="24" t="s">
        <v>26</v>
      </c>
      <c r="B6" s="25" t="s">
        <v>27</v>
      </c>
      <c r="C6" s="7" t="s">
        <v>28</v>
      </c>
      <c r="D6" s="7" t="s">
        <v>464</v>
      </c>
      <c r="E6" s="7" t="s">
        <v>29</v>
      </c>
      <c r="F6" s="6" t="s">
        <v>30</v>
      </c>
      <c r="G6" s="7" t="s">
        <v>386</v>
      </c>
    </row>
    <row r="7" spans="1:7" ht="30.1" customHeight="1" x14ac:dyDescent="0.45">
      <c r="A7" s="24" t="s">
        <v>31</v>
      </c>
      <c r="B7" s="25" t="s">
        <v>32</v>
      </c>
      <c r="C7" s="7" t="s">
        <v>465</v>
      </c>
      <c r="D7" s="7" t="s">
        <v>464</v>
      </c>
      <c r="E7" s="7" t="s">
        <v>29</v>
      </c>
      <c r="F7" s="6" t="s">
        <v>30</v>
      </c>
      <c r="G7" s="7" t="s">
        <v>387</v>
      </c>
    </row>
    <row r="8" spans="1:7" ht="30.1" customHeight="1" x14ac:dyDescent="0.45">
      <c r="A8" s="24" t="s">
        <v>33</v>
      </c>
      <c r="B8" s="25" t="s">
        <v>34</v>
      </c>
      <c r="C8" s="7" t="s">
        <v>35</v>
      </c>
      <c r="D8" s="7" t="s">
        <v>464</v>
      </c>
      <c r="E8" s="7" t="s">
        <v>29</v>
      </c>
      <c r="F8" s="6" t="s">
        <v>30</v>
      </c>
      <c r="G8" s="7" t="s">
        <v>388</v>
      </c>
    </row>
    <row r="9" spans="1:7" ht="30.1" customHeight="1" x14ac:dyDescent="0.45">
      <c r="A9" s="24" t="s">
        <v>36</v>
      </c>
      <c r="B9" s="25" t="s">
        <v>37</v>
      </c>
      <c r="C9" s="7" t="s">
        <v>38</v>
      </c>
      <c r="D9" s="7" t="s">
        <v>464</v>
      </c>
      <c r="E9" s="7" t="s">
        <v>29</v>
      </c>
      <c r="F9" s="6" t="s">
        <v>30</v>
      </c>
      <c r="G9" s="7" t="s">
        <v>389</v>
      </c>
    </row>
    <row r="10" spans="1:7" ht="30.1" customHeight="1" x14ac:dyDescent="0.45">
      <c r="A10" s="24" t="s">
        <v>39</v>
      </c>
      <c r="B10" s="25" t="s">
        <v>40</v>
      </c>
      <c r="C10" s="7" t="s">
        <v>41</v>
      </c>
      <c r="D10" s="7" t="s">
        <v>464</v>
      </c>
      <c r="E10" s="7" t="s">
        <v>29</v>
      </c>
      <c r="F10" s="6" t="s">
        <v>30</v>
      </c>
      <c r="G10" s="7" t="s">
        <v>390</v>
      </c>
    </row>
    <row r="11" spans="1:7" ht="30.1" customHeight="1" x14ac:dyDescent="0.45">
      <c r="A11" s="24">
        <v>0.06</v>
      </c>
      <c r="B11" s="25" t="s">
        <v>42</v>
      </c>
      <c r="C11" s="7" t="s">
        <v>43</v>
      </c>
      <c r="D11" s="7" t="s">
        <v>464</v>
      </c>
      <c r="E11" s="7" t="s">
        <v>29</v>
      </c>
      <c r="F11" s="6" t="s">
        <v>30</v>
      </c>
      <c r="G11" s="7" t="s">
        <v>391</v>
      </c>
    </row>
    <row r="12" spans="1:7" ht="30.1" customHeight="1" x14ac:dyDescent="0.45">
      <c r="A12" s="24">
        <v>7.0000000000000007E-2</v>
      </c>
      <c r="B12" s="25" t="s">
        <v>44</v>
      </c>
      <c r="C12" s="7" t="s">
        <v>45</v>
      </c>
      <c r="D12" s="7" t="s">
        <v>464</v>
      </c>
      <c r="E12" s="7" t="s">
        <v>29</v>
      </c>
      <c r="F12" s="6" t="s">
        <v>30</v>
      </c>
      <c r="G12" s="7" t="s">
        <v>392</v>
      </c>
    </row>
    <row r="13" spans="1:7" ht="30.1" customHeight="1" x14ac:dyDescent="0.45">
      <c r="A13" s="24" t="s">
        <v>46</v>
      </c>
      <c r="B13" s="25" t="s">
        <v>47</v>
      </c>
      <c r="C13" s="7" t="s">
        <v>466</v>
      </c>
      <c r="D13" s="7" t="s">
        <v>464</v>
      </c>
      <c r="E13" s="7" t="s">
        <v>48</v>
      </c>
      <c r="F13" s="6" t="s">
        <v>49</v>
      </c>
      <c r="G13" s="7" t="s">
        <v>393</v>
      </c>
    </row>
    <row r="14" spans="1:7" ht="30.1" customHeight="1" x14ac:dyDescent="0.45">
      <c r="A14" s="24" t="s">
        <v>50</v>
      </c>
      <c r="B14" s="25" t="s">
        <v>51</v>
      </c>
      <c r="C14" s="7" t="s">
        <v>52</v>
      </c>
      <c r="D14" s="7" t="s">
        <v>464</v>
      </c>
      <c r="E14" s="7" t="s">
        <v>48</v>
      </c>
      <c r="F14" s="6" t="s">
        <v>49</v>
      </c>
      <c r="G14" s="7" t="s">
        <v>394</v>
      </c>
    </row>
    <row r="15" spans="1:7" ht="30.1" customHeight="1" x14ac:dyDescent="0.45">
      <c r="A15" s="24" t="s">
        <v>53</v>
      </c>
      <c r="B15" s="25" t="s">
        <v>54</v>
      </c>
      <c r="C15" s="7" t="s">
        <v>55</v>
      </c>
      <c r="D15" s="7" t="s">
        <v>464</v>
      </c>
      <c r="E15" s="7" t="s">
        <v>48</v>
      </c>
      <c r="F15" s="6" t="s">
        <v>49</v>
      </c>
      <c r="G15" s="7" t="s">
        <v>395</v>
      </c>
    </row>
    <row r="16" spans="1:7" ht="30.1" customHeight="1" x14ac:dyDescent="0.45">
      <c r="A16" s="24" t="s">
        <v>56</v>
      </c>
      <c r="B16" s="25" t="s">
        <v>57</v>
      </c>
      <c r="C16" s="7" t="s">
        <v>58</v>
      </c>
      <c r="D16" s="7" t="s">
        <v>464</v>
      </c>
      <c r="E16" s="7" t="s">
        <v>59</v>
      </c>
      <c r="F16" s="6" t="s">
        <v>60</v>
      </c>
      <c r="G16" s="7" t="s">
        <v>396</v>
      </c>
    </row>
    <row r="17" spans="1:7" ht="30.1" customHeight="1" x14ac:dyDescent="0.45">
      <c r="A17" s="24" t="s">
        <v>61</v>
      </c>
      <c r="B17" s="25" t="s">
        <v>62</v>
      </c>
      <c r="C17" s="7" t="s">
        <v>63</v>
      </c>
      <c r="D17" s="7" t="s">
        <v>464</v>
      </c>
      <c r="E17" s="7" t="s">
        <v>59</v>
      </c>
      <c r="F17" s="6" t="s">
        <v>60</v>
      </c>
      <c r="G17" s="7" t="s">
        <v>397</v>
      </c>
    </row>
    <row r="18" spans="1:7" ht="30.1" customHeight="1" x14ac:dyDescent="0.45">
      <c r="A18" s="24" t="s">
        <v>64</v>
      </c>
      <c r="B18" s="25" t="s">
        <v>65</v>
      </c>
      <c r="C18" s="7" t="s">
        <v>66</v>
      </c>
      <c r="D18" s="7" t="s">
        <v>464</v>
      </c>
      <c r="E18" s="7" t="s">
        <v>59</v>
      </c>
      <c r="F18" s="6" t="s">
        <v>60</v>
      </c>
      <c r="G18" s="7" t="s">
        <v>398</v>
      </c>
    </row>
    <row r="19" spans="1:7" ht="30.1" customHeight="1" x14ac:dyDescent="0.45">
      <c r="A19" s="24" t="s">
        <v>67</v>
      </c>
      <c r="B19" s="25" t="s">
        <v>68</v>
      </c>
      <c r="C19" s="7" t="s">
        <v>69</v>
      </c>
      <c r="D19" s="7" t="s">
        <v>464</v>
      </c>
      <c r="E19" s="7" t="s">
        <v>70</v>
      </c>
      <c r="F19" s="6" t="s">
        <v>71</v>
      </c>
      <c r="G19" s="7" t="s">
        <v>399</v>
      </c>
    </row>
    <row r="20" spans="1:7" ht="30.1" customHeight="1" x14ac:dyDescent="0.45">
      <c r="A20" s="24" t="s">
        <v>72</v>
      </c>
      <c r="B20" s="25" t="s">
        <v>73</v>
      </c>
      <c r="C20" s="7" t="s">
        <v>74</v>
      </c>
      <c r="D20" s="7" t="s">
        <v>467</v>
      </c>
      <c r="E20" s="7" t="s">
        <v>59</v>
      </c>
      <c r="F20" s="6" t="s">
        <v>60</v>
      </c>
      <c r="G20" s="7" t="s">
        <v>400</v>
      </c>
    </row>
    <row r="21" spans="1:7" ht="30.1" customHeight="1" x14ac:dyDescent="0.45">
      <c r="A21" s="24" t="s">
        <v>75</v>
      </c>
      <c r="B21" s="25" t="s">
        <v>76</v>
      </c>
      <c r="C21" s="7" t="s">
        <v>468</v>
      </c>
      <c r="D21" s="7" t="s">
        <v>464</v>
      </c>
      <c r="E21" s="7" t="s">
        <v>48</v>
      </c>
      <c r="F21" s="6" t="s">
        <v>49</v>
      </c>
      <c r="G21" s="7" t="s">
        <v>401</v>
      </c>
    </row>
    <row r="22" spans="1:7" ht="30.1" customHeight="1" x14ac:dyDescent="0.45">
      <c r="A22" s="24" t="s">
        <v>82</v>
      </c>
      <c r="B22" s="25" t="s">
        <v>83</v>
      </c>
      <c r="C22" s="7" t="s">
        <v>84</v>
      </c>
      <c r="D22" s="7" t="s">
        <v>464</v>
      </c>
      <c r="E22" s="7" t="s">
        <v>59</v>
      </c>
      <c r="F22" s="6" t="s">
        <v>60</v>
      </c>
      <c r="G22" s="7" t="s">
        <v>402</v>
      </c>
    </row>
    <row r="23" spans="1:7" ht="30.1" customHeight="1" x14ac:dyDescent="0.45">
      <c r="A23" s="24" t="s">
        <v>91</v>
      </c>
      <c r="B23" s="25" t="s">
        <v>92</v>
      </c>
      <c r="C23" s="7" t="s">
        <v>93</v>
      </c>
      <c r="D23" s="7" t="s">
        <v>464</v>
      </c>
      <c r="E23" s="7" t="s">
        <v>80</v>
      </c>
      <c r="F23" s="6" t="s">
        <v>81</v>
      </c>
      <c r="G23" s="7" t="s">
        <v>403</v>
      </c>
    </row>
    <row r="24" spans="1:7" ht="30.1" customHeight="1" x14ac:dyDescent="0.45">
      <c r="A24" s="24" t="s">
        <v>115</v>
      </c>
      <c r="B24" s="25" t="s">
        <v>116</v>
      </c>
      <c r="C24" s="7" t="s">
        <v>117</v>
      </c>
      <c r="D24" s="7" t="s">
        <v>464</v>
      </c>
      <c r="E24" s="7" t="s">
        <v>59</v>
      </c>
      <c r="F24" s="6" t="s">
        <v>60</v>
      </c>
      <c r="G24" s="7" t="s">
        <v>404</v>
      </c>
    </row>
    <row r="25" spans="1:7" ht="30.1" customHeight="1" x14ac:dyDescent="0.45">
      <c r="A25" s="24" t="s">
        <v>118</v>
      </c>
      <c r="B25" s="25" t="s">
        <v>119</v>
      </c>
      <c r="C25" s="7" t="s">
        <v>120</v>
      </c>
      <c r="D25" s="7" t="s">
        <v>464</v>
      </c>
      <c r="E25" s="7" t="s">
        <v>59</v>
      </c>
      <c r="F25" s="6" t="s">
        <v>60</v>
      </c>
      <c r="G25" s="7" t="s">
        <v>405</v>
      </c>
    </row>
  </sheetData>
  <mergeCells count="1">
    <mergeCell ref="A3:G3"/>
  </mergeCell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showGridLines="0" zoomScaleNormal="100" workbookViewId="0">
      <pane ySplit="5" topLeftCell="A6" activePane="bottomLeft" state="frozen"/>
      <selection pane="bottomLeft" activeCell="A6" sqref="A6:B24"/>
    </sheetView>
  </sheetViews>
  <sheetFormatPr defaultColWidth="8.6640625" defaultRowHeight="14.25" x14ac:dyDescent="0.45"/>
  <cols>
    <col min="1" max="1" width="9" customWidth="1"/>
    <col min="2" max="2" width="40" customWidth="1"/>
    <col min="3" max="3" width="50" customWidth="1"/>
    <col min="4" max="4" width="24" customWidth="1"/>
    <col min="5" max="5" width="30" customWidth="1"/>
    <col min="6" max="6" width="8" customWidth="1"/>
    <col min="7" max="7" width="40" customWidth="1"/>
  </cols>
  <sheetData>
    <row r="1" spans="1:7" ht="19.600000000000001" customHeight="1" x14ac:dyDescent="0.55000000000000004">
      <c r="A1" s="2" t="s">
        <v>7</v>
      </c>
    </row>
    <row r="2" spans="1:7" x14ac:dyDescent="0.45">
      <c r="A2" s="1" t="str">
        <f>COUNTIF('Master Register'!$B$4:$B$76,$A$1)&amp;" deliverables   ·   Rev P01"</f>
        <v>19 deliverables   ·   Rev P01</v>
      </c>
    </row>
    <row r="3" spans="1:7" ht="45" customHeight="1" x14ac:dyDescent="0.45">
      <c r="A3" s="22" t="s">
        <v>133</v>
      </c>
      <c r="B3" s="22"/>
      <c r="C3" s="22"/>
      <c r="D3" s="22"/>
      <c r="E3" s="22"/>
      <c r="F3" s="22"/>
      <c r="G3" s="22"/>
    </row>
    <row r="5" spans="1:7" ht="30.1" customHeight="1" x14ac:dyDescent="0.45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</row>
    <row r="6" spans="1:7" ht="30.1" customHeight="1" x14ac:dyDescent="0.45">
      <c r="A6" s="24" t="s">
        <v>134</v>
      </c>
      <c r="B6" s="25" t="s">
        <v>135</v>
      </c>
      <c r="C6" s="7" t="s">
        <v>136</v>
      </c>
      <c r="D6" s="7" t="s">
        <v>469</v>
      </c>
      <c r="E6" s="7" t="s">
        <v>137</v>
      </c>
      <c r="F6" s="6" t="s">
        <v>138</v>
      </c>
      <c r="G6" s="7" t="s">
        <v>406</v>
      </c>
    </row>
    <row r="7" spans="1:7" ht="30.1" customHeight="1" x14ac:dyDescent="0.45">
      <c r="A7" s="24" t="s">
        <v>139</v>
      </c>
      <c r="B7" s="25" t="s">
        <v>140</v>
      </c>
      <c r="C7" s="7" t="s">
        <v>141</v>
      </c>
      <c r="D7" s="7" t="s">
        <v>469</v>
      </c>
      <c r="E7" s="7" t="s">
        <v>137</v>
      </c>
      <c r="F7" s="6" t="s">
        <v>138</v>
      </c>
      <c r="G7" s="7" t="s">
        <v>407</v>
      </c>
    </row>
    <row r="8" spans="1:7" ht="30.1" customHeight="1" x14ac:dyDescent="0.45">
      <c r="A8" s="24" t="s">
        <v>142</v>
      </c>
      <c r="B8" s="25" t="s">
        <v>143</v>
      </c>
      <c r="C8" s="7" t="s">
        <v>144</v>
      </c>
      <c r="D8" s="7" t="s">
        <v>469</v>
      </c>
      <c r="E8" s="7" t="s">
        <v>137</v>
      </c>
      <c r="F8" s="6" t="s">
        <v>138</v>
      </c>
      <c r="G8" s="7" t="s">
        <v>408</v>
      </c>
    </row>
    <row r="9" spans="1:7" ht="30.1" customHeight="1" x14ac:dyDescent="0.45">
      <c r="A9" s="24" t="s">
        <v>145</v>
      </c>
      <c r="B9" s="25" t="s">
        <v>146</v>
      </c>
      <c r="C9" s="7" t="s">
        <v>147</v>
      </c>
      <c r="D9" s="7" t="s">
        <v>129</v>
      </c>
      <c r="E9" s="7" t="s">
        <v>148</v>
      </c>
      <c r="F9" s="6" t="s">
        <v>149</v>
      </c>
      <c r="G9" s="7" t="s">
        <v>409</v>
      </c>
    </row>
    <row r="10" spans="1:7" ht="30.1" customHeight="1" x14ac:dyDescent="0.45">
      <c r="A10" s="24" t="s">
        <v>150</v>
      </c>
      <c r="B10" s="25" t="s">
        <v>151</v>
      </c>
      <c r="C10" s="7" t="s">
        <v>152</v>
      </c>
      <c r="D10" s="7" t="s">
        <v>129</v>
      </c>
      <c r="E10" s="7" t="s">
        <v>148</v>
      </c>
      <c r="F10" s="6" t="s">
        <v>149</v>
      </c>
      <c r="G10" s="7" t="s">
        <v>410</v>
      </c>
    </row>
    <row r="11" spans="1:7" ht="30.1" customHeight="1" x14ac:dyDescent="0.45">
      <c r="A11" s="24" t="s">
        <v>77</v>
      </c>
      <c r="B11" s="25" t="s">
        <v>78</v>
      </c>
      <c r="C11" s="7" t="s">
        <v>79</v>
      </c>
      <c r="D11" s="7" t="s">
        <v>464</v>
      </c>
      <c r="E11" s="7" t="s">
        <v>80</v>
      </c>
      <c r="F11" s="6" t="s">
        <v>81</v>
      </c>
      <c r="G11" s="7" t="s">
        <v>411</v>
      </c>
    </row>
    <row r="12" spans="1:7" ht="30.1" customHeight="1" x14ac:dyDescent="0.45">
      <c r="A12" s="24" t="s">
        <v>85</v>
      </c>
      <c r="B12" s="25" t="s">
        <v>86</v>
      </c>
      <c r="C12" s="7" t="s">
        <v>87</v>
      </c>
      <c r="D12" s="7" t="s">
        <v>464</v>
      </c>
      <c r="E12" s="7" t="s">
        <v>80</v>
      </c>
      <c r="F12" s="6" t="s">
        <v>81</v>
      </c>
      <c r="G12" s="7" t="s">
        <v>412</v>
      </c>
    </row>
    <row r="13" spans="1:7" ht="30.1" customHeight="1" x14ac:dyDescent="0.45">
      <c r="A13" s="24" t="s">
        <v>88</v>
      </c>
      <c r="B13" s="25" t="s">
        <v>89</v>
      </c>
      <c r="C13" s="7" t="s">
        <v>90</v>
      </c>
      <c r="D13" s="7" t="s">
        <v>464</v>
      </c>
      <c r="E13" s="7" t="s">
        <v>80</v>
      </c>
      <c r="F13" s="6" t="s">
        <v>81</v>
      </c>
      <c r="G13" s="7" t="s">
        <v>413</v>
      </c>
    </row>
    <row r="14" spans="1:7" ht="30.1" customHeight="1" x14ac:dyDescent="0.45">
      <c r="A14" s="24" t="s">
        <v>94</v>
      </c>
      <c r="B14" s="25" t="s">
        <v>95</v>
      </c>
      <c r="C14" s="7" t="s">
        <v>96</v>
      </c>
      <c r="D14" s="7" t="s">
        <v>464</v>
      </c>
      <c r="E14" s="7" t="s">
        <v>80</v>
      </c>
      <c r="F14" s="6" t="s">
        <v>81</v>
      </c>
      <c r="G14" s="7" t="s">
        <v>414</v>
      </c>
    </row>
    <row r="15" spans="1:7" ht="30.1" customHeight="1" x14ac:dyDescent="0.45">
      <c r="A15" s="24" t="s">
        <v>97</v>
      </c>
      <c r="B15" s="25" t="s">
        <v>98</v>
      </c>
      <c r="C15" s="7" t="s">
        <v>99</v>
      </c>
      <c r="D15" s="7" t="s">
        <v>464</v>
      </c>
      <c r="E15" s="7" t="s">
        <v>80</v>
      </c>
      <c r="F15" s="6" t="s">
        <v>81</v>
      </c>
      <c r="G15" s="7" t="s">
        <v>415</v>
      </c>
    </row>
    <row r="16" spans="1:7" ht="30.1" customHeight="1" x14ac:dyDescent="0.45">
      <c r="A16" s="24" t="s">
        <v>100</v>
      </c>
      <c r="B16" s="25" t="s">
        <v>101</v>
      </c>
      <c r="C16" s="7" t="s">
        <v>102</v>
      </c>
      <c r="D16" s="7" t="s">
        <v>464</v>
      </c>
      <c r="E16" s="7" t="s">
        <v>80</v>
      </c>
      <c r="F16" s="6" t="s">
        <v>81</v>
      </c>
      <c r="G16" s="7" t="s">
        <v>416</v>
      </c>
    </row>
    <row r="17" spans="1:7" ht="30.1" customHeight="1" x14ac:dyDescent="0.45">
      <c r="A17" s="24" t="s">
        <v>103</v>
      </c>
      <c r="B17" s="25" t="s">
        <v>104</v>
      </c>
      <c r="C17" s="7" t="s">
        <v>105</v>
      </c>
      <c r="D17" s="7" t="s">
        <v>464</v>
      </c>
      <c r="E17" s="7" t="s">
        <v>80</v>
      </c>
      <c r="F17" s="6" t="s">
        <v>81</v>
      </c>
      <c r="G17" s="7" t="s">
        <v>417</v>
      </c>
    </row>
    <row r="18" spans="1:7" ht="30.1" customHeight="1" x14ac:dyDescent="0.45">
      <c r="A18" s="24" t="s">
        <v>106</v>
      </c>
      <c r="B18" s="25" t="s">
        <v>107</v>
      </c>
      <c r="C18" s="7" t="s">
        <v>108</v>
      </c>
      <c r="D18" s="7" t="s">
        <v>464</v>
      </c>
      <c r="E18" s="7" t="s">
        <v>80</v>
      </c>
      <c r="F18" s="6" t="s">
        <v>81</v>
      </c>
      <c r="G18" s="7" t="s">
        <v>418</v>
      </c>
    </row>
    <row r="19" spans="1:7" ht="30.1" customHeight="1" x14ac:dyDescent="0.45">
      <c r="A19" s="24" t="s">
        <v>109</v>
      </c>
      <c r="B19" s="25" t="s">
        <v>110</v>
      </c>
      <c r="C19" s="7" t="s">
        <v>111</v>
      </c>
      <c r="D19" s="7" t="s">
        <v>464</v>
      </c>
      <c r="E19" s="7" t="s">
        <v>80</v>
      </c>
      <c r="F19" s="6" t="s">
        <v>81</v>
      </c>
      <c r="G19" s="7" t="s">
        <v>419</v>
      </c>
    </row>
    <row r="20" spans="1:7" ht="30.1" customHeight="1" x14ac:dyDescent="0.45">
      <c r="A20" s="24" t="s">
        <v>112</v>
      </c>
      <c r="B20" s="25" t="s">
        <v>113</v>
      </c>
      <c r="C20" s="7" t="s">
        <v>114</v>
      </c>
      <c r="D20" s="7" t="s">
        <v>464</v>
      </c>
      <c r="E20" s="7" t="s">
        <v>80</v>
      </c>
      <c r="F20" s="6" t="s">
        <v>81</v>
      </c>
      <c r="G20" s="7" t="s">
        <v>420</v>
      </c>
    </row>
    <row r="21" spans="1:7" ht="30.1" customHeight="1" x14ac:dyDescent="0.45">
      <c r="A21" s="24" t="s">
        <v>121</v>
      </c>
      <c r="B21" s="25" t="s">
        <v>122</v>
      </c>
      <c r="C21" s="7" t="s">
        <v>123</v>
      </c>
      <c r="D21" s="7" t="s">
        <v>464</v>
      </c>
      <c r="E21" s="7" t="s">
        <v>124</v>
      </c>
      <c r="F21" s="6" t="s">
        <v>125</v>
      </c>
      <c r="G21" s="7" t="s">
        <v>421</v>
      </c>
    </row>
    <row r="22" spans="1:7" ht="30.1" customHeight="1" x14ac:dyDescent="0.45">
      <c r="A22" s="24" t="s">
        <v>126</v>
      </c>
      <c r="B22" s="25" t="s">
        <v>127</v>
      </c>
      <c r="C22" s="7" t="s">
        <v>128</v>
      </c>
      <c r="D22" s="7" t="s">
        <v>129</v>
      </c>
      <c r="E22" s="7" t="s">
        <v>124</v>
      </c>
      <c r="F22" s="6" t="s">
        <v>125</v>
      </c>
      <c r="G22" s="7" t="s">
        <v>422</v>
      </c>
    </row>
    <row r="23" spans="1:7" ht="30.1" customHeight="1" x14ac:dyDescent="0.45">
      <c r="A23" s="24" t="s">
        <v>130</v>
      </c>
      <c r="B23" s="25" t="s">
        <v>131</v>
      </c>
      <c r="C23" s="7" t="s">
        <v>132</v>
      </c>
      <c r="D23" s="7" t="s">
        <v>129</v>
      </c>
      <c r="E23" s="7" t="s">
        <v>124</v>
      </c>
      <c r="F23" s="6" t="s">
        <v>125</v>
      </c>
      <c r="G23" s="7" t="s">
        <v>423</v>
      </c>
    </row>
    <row r="24" spans="1:7" ht="30.1" customHeight="1" x14ac:dyDescent="0.45">
      <c r="A24" s="24" t="s">
        <v>153</v>
      </c>
      <c r="B24" s="25" t="s">
        <v>154</v>
      </c>
      <c r="C24" s="7" t="s">
        <v>385</v>
      </c>
      <c r="D24" s="7" t="s">
        <v>129</v>
      </c>
      <c r="E24" s="7" t="s">
        <v>148</v>
      </c>
      <c r="F24" s="6" t="s">
        <v>149</v>
      </c>
      <c r="G24" s="7" t="s">
        <v>424</v>
      </c>
    </row>
  </sheetData>
  <mergeCells count="1">
    <mergeCell ref="A3:G3"/>
  </mergeCell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9"/>
  <sheetViews>
    <sheetView showGridLines="0" zoomScaleNormal="100" workbookViewId="0">
      <pane ySplit="5" topLeftCell="A6" activePane="bottomLeft" state="frozen"/>
      <selection pane="bottomLeft" activeCell="C31" sqref="C31"/>
    </sheetView>
  </sheetViews>
  <sheetFormatPr defaultColWidth="8.6640625" defaultRowHeight="14.25" x14ac:dyDescent="0.45"/>
  <cols>
    <col min="1" max="1" width="9" customWidth="1"/>
    <col min="2" max="2" width="40" customWidth="1"/>
    <col min="3" max="3" width="50" customWidth="1"/>
    <col min="4" max="4" width="24" customWidth="1"/>
    <col min="5" max="5" width="30" customWidth="1"/>
    <col min="6" max="6" width="8" customWidth="1"/>
    <col min="7" max="7" width="40" customWidth="1"/>
  </cols>
  <sheetData>
    <row r="1" spans="1:7" ht="19.600000000000001" customHeight="1" x14ac:dyDescent="0.55000000000000004">
      <c r="A1" s="2" t="s">
        <v>9</v>
      </c>
    </row>
    <row r="2" spans="1:7" x14ac:dyDescent="0.45">
      <c r="A2" s="1" t="str">
        <f>COUNTIF('Master Register'!$B$4:$B$76,$A$1)&amp;" deliverables   ·   Rev P01"</f>
        <v>34 deliverables   ·   Rev P01</v>
      </c>
    </row>
    <row r="3" spans="1:7" ht="45" customHeight="1" x14ac:dyDescent="0.45">
      <c r="A3" s="22" t="s">
        <v>156</v>
      </c>
      <c r="B3" s="22"/>
      <c r="C3" s="22"/>
      <c r="D3" s="22"/>
      <c r="E3" s="22"/>
      <c r="F3" s="22"/>
      <c r="G3" s="22"/>
    </row>
    <row r="5" spans="1:7" ht="30.1" customHeight="1" x14ac:dyDescent="0.45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</row>
    <row r="6" spans="1:7" ht="30.1" customHeight="1" x14ac:dyDescent="0.45">
      <c r="A6" s="24" t="s">
        <v>157</v>
      </c>
      <c r="B6" s="25" t="s">
        <v>158</v>
      </c>
      <c r="C6" s="7" t="s">
        <v>159</v>
      </c>
      <c r="D6" s="7" t="s">
        <v>129</v>
      </c>
      <c r="E6" s="7" t="s">
        <v>160</v>
      </c>
      <c r="F6" s="6" t="s">
        <v>161</v>
      </c>
      <c r="G6" s="7" t="s">
        <v>425</v>
      </c>
    </row>
    <row r="7" spans="1:7" ht="30.1" customHeight="1" x14ac:dyDescent="0.45">
      <c r="A7" s="24" t="s">
        <v>162</v>
      </c>
      <c r="B7" s="25" t="s">
        <v>163</v>
      </c>
      <c r="C7" s="7" t="s">
        <v>164</v>
      </c>
      <c r="D7" s="7" t="s">
        <v>129</v>
      </c>
      <c r="E7" s="7" t="s">
        <v>160</v>
      </c>
      <c r="F7" s="6" t="s">
        <v>161</v>
      </c>
      <c r="G7" s="7" t="s">
        <v>426</v>
      </c>
    </row>
    <row r="8" spans="1:7" ht="30.1" customHeight="1" x14ac:dyDescent="0.45">
      <c r="A8" s="24" t="s">
        <v>165</v>
      </c>
      <c r="B8" s="25" t="s">
        <v>166</v>
      </c>
      <c r="C8" s="7" t="s">
        <v>167</v>
      </c>
      <c r="D8" s="7" t="s">
        <v>168</v>
      </c>
      <c r="E8" s="7" t="s">
        <v>160</v>
      </c>
      <c r="F8" s="6" t="s">
        <v>161</v>
      </c>
      <c r="G8" s="7" t="s">
        <v>427</v>
      </c>
    </row>
    <row r="9" spans="1:7" ht="30.1" customHeight="1" x14ac:dyDescent="0.45">
      <c r="A9" s="24" t="s">
        <v>169</v>
      </c>
      <c r="B9" s="25" t="s">
        <v>170</v>
      </c>
      <c r="C9" s="7" t="s">
        <v>171</v>
      </c>
      <c r="D9" s="7" t="s">
        <v>172</v>
      </c>
      <c r="E9" s="7" t="s">
        <v>160</v>
      </c>
      <c r="F9" s="6" t="s">
        <v>161</v>
      </c>
      <c r="G9" s="7" t="s">
        <v>428</v>
      </c>
    </row>
    <row r="10" spans="1:7" ht="30.1" customHeight="1" x14ac:dyDescent="0.45">
      <c r="A10" s="24" t="s">
        <v>173</v>
      </c>
      <c r="B10" s="25" t="s">
        <v>174</v>
      </c>
      <c r="C10" s="7" t="s">
        <v>175</v>
      </c>
      <c r="D10" s="7" t="s">
        <v>176</v>
      </c>
      <c r="E10" s="7" t="s">
        <v>160</v>
      </c>
      <c r="F10" s="6" t="s">
        <v>161</v>
      </c>
      <c r="G10" s="7" t="s">
        <v>429</v>
      </c>
    </row>
    <row r="11" spans="1:7" ht="30.1" customHeight="1" x14ac:dyDescent="0.45">
      <c r="A11" s="24" t="s">
        <v>177</v>
      </c>
      <c r="B11" s="25" t="s">
        <v>178</v>
      </c>
      <c r="C11" s="7" t="s">
        <v>179</v>
      </c>
      <c r="D11" s="7" t="s">
        <v>470</v>
      </c>
      <c r="E11" s="7" t="s">
        <v>180</v>
      </c>
      <c r="F11" s="6" t="s">
        <v>181</v>
      </c>
      <c r="G11" s="7" t="s">
        <v>430</v>
      </c>
    </row>
    <row r="12" spans="1:7" ht="30.1" customHeight="1" x14ac:dyDescent="0.45">
      <c r="A12" s="24" t="s">
        <v>182</v>
      </c>
      <c r="B12" s="25" t="s">
        <v>183</v>
      </c>
      <c r="C12" s="7" t="s">
        <v>184</v>
      </c>
      <c r="D12" s="7" t="s">
        <v>464</v>
      </c>
      <c r="E12" s="7" t="s">
        <v>185</v>
      </c>
      <c r="F12" s="6" t="s">
        <v>186</v>
      </c>
      <c r="G12" s="7" t="s">
        <v>431</v>
      </c>
    </row>
    <row r="13" spans="1:7" ht="30.1" customHeight="1" x14ac:dyDescent="0.45">
      <c r="A13" s="24" t="s">
        <v>187</v>
      </c>
      <c r="B13" s="25" t="s">
        <v>188</v>
      </c>
      <c r="C13" s="7" t="s">
        <v>189</v>
      </c>
      <c r="D13" s="7" t="s">
        <v>464</v>
      </c>
      <c r="E13" s="7" t="s">
        <v>160</v>
      </c>
      <c r="F13" s="6" t="s">
        <v>161</v>
      </c>
      <c r="G13" s="7" t="s">
        <v>432</v>
      </c>
    </row>
    <row r="14" spans="1:7" ht="30.1" customHeight="1" x14ac:dyDescent="0.45">
      <c r="A14" s="24" t="s">
        <v>190</v>
      </c>
      <c r="B14" s="25" t="s">
        <v>191</v>
      </c>
      <c r="C14" s="7" t="s">
        <v>192</v>
      </c>
      <c r="D14" s="7" t="s">
        <v>470</v>
      </c>
      <c r="E14" s="7" t="s">
        <v>160</v>
      </c>
      <c r="F14" s="6" t="s">
        <v>161</v>
      </c>
      <c r="G14" s="7" t="s">
        <v>433</v>
      </c>
    </row>
    <row r="15" spans="1:7" ht="30.1" customHeight="1" x14ac:dyDescent="0.45">
      <c r="A15" s="24" t="s">
        <v>193</v>
      </c>
      <c r="B15" s="25" t="s">
        <v>194</v>
      </c>
      <c r="C15" s="7" t="s">
        <v>195</v>
      </c>
      <c r="D15" s="7" t="s">
        <v>129</v>
      </c>
      <c r="E15" s="7" t="s">
        <v>160</v>
      </c>
      <c r="F15" s="6" t="s">
        <v>161</v>
      </c>
      <c r="G15" s="7" t="s">
        <v>434</v>
      </c>
    </row>
    <row r="16" spans="1:7" ht="30.1" customHeight="1" x14ac:dyDescent="0.45">
      <c r="A16" s="24" t="s">
        <v>196</v>
      </c>
      <c r="B16" s="25" t="s">
        <v>197</v>
      </c>
      <c r="C16" s="7" t="s">
        <v>198</v>
      </c>
      <c r="D16" s="7" t="s">
        <v>464</v>
      </c>
      <c r="E16" s="7" t="s">
        <v>185</v>
      </c>
      <c r="F16" s="6" t="s">
        <v>186</v>
      </c>
      <c r="G16" s="7" t="s">
        <v>435</v>
      </c>
    </row>
    <row r="17" spans="1:7" ht="30.1" customHeight="1" x14ac:dyDescent="0.45">
      <c r="A17" s="24" t="s">
        <v>199</v>
      </c>
      <c r="B17" s="25" t="s">
        <v>200</v>
      </c>
      <c r="C17" s="7" t="s">
        <v>471</v>
      </c>
      <c r="D17" s="7" t="s">
        <v>464</v>
      </c>
      <c r="E17" s="7" t="s">
        <v>201</v>
      </c>
      <c r="F17" s="6" t="s">
        <v>202</v>
      </c>
      <c r="G17" s="7" t="s">
        <v>436</v>
      </c>
    </row>
    <row r="18" spans="1:7" ht="30.1" customHeight="1" x14ac:dyDescent="0.45">
      <c r="A18" s="24" t="s">
        <v>203</v>
      </c>
      <c r="B18" s="25" t="s">
        <v>204</v>
      </c>
      <c r="C18" s="7" t="s">
        <v>205</v>
      </c>
      <c r="D18" s="7" t="s">
        <v>129</v>
      </c>
      <c r="E18" s="7" t="s">
        <v>201</v>
      </c>
      <c r="F18" s="6" t="s">
        <v>202</v>
      </c>
      <c r="G18" s="7" t="s">
        <v>437</v>
      </c>
    </row>
    <row r="19" spans="1:7" ht="30.1" customHeight="1" x14ac:dyDescent="0.45">
      <c r="A19" s="24" t="s">
        <v>206</v>
      </c>
      <c r="B19" s="25" t="s">
        <v>207</v>
      </c>
      <c r="C19" s="7" t="s">
        <v>208</v>
      </c>
      <c r="D19" s="7" t="s">
        <v>472</v>
      </c>
      <c r="E19" s="7" t="s">
        <v>201</v>
      </c>
      <c r="F19" s="6" t="s">
        <v>202</v>
      </c>
      <c r="G19" s="7" t="s">
        <v>438</v>
      </c>
    </row>
    <row r="20" spans="1:7" ht="30.1" customHeight="1" x14ac:dyDescent="0.45">
      <c r="A20" s="24" t="s">
        <v>209</v>
      </c>
      <c r="B20" s="25" t="s">
        <v>210</v>
      </c>
      <c r="C20" s="7" t="s">
        <v>211</v>
      </c>
      <c r="D20" s="7" t="s">
        <v>129</v>
      </c>
      <c r="E20" s="7" t="s">
        <v>201</v>
      </c>
      <c r="F20" s="6" t="s">
        <v>202</v>
      </c>
      <c r="G20" s="7" t="s">
        <v>439</v>
      </c>
    </row>
    <row r="21" spans="1:7" ht="30.1" customHeight="1" x14ac:dyDescent="0.45">
      <c r="A21" s="24" t="s">
        <v>212</v>
      </c>
      <c r="B21" s="25" t="s">
        <v>213</v>
      </c>
      <c r="C21" s="7" t="s">
        <v>214</v>
      </c>
      <c r="D21" s="7" t="s">
        <v>129</v>
      </c>
      <c r="E21" s="7" t="s">
        <v>201</v>
      </c>
      <c r="F21" s="6" t="s">
        <v>202</v>
      </c>
      <c r="G21" s="7" t="s">
        <v>440</v>
      </c>
    </row>
    <row r="22" spans="1:7" ht="30.1" customHeight="1" x14ac:dyDescent="0.45">
      <c r="A22" s="24" t="s">
        <v>215</v>
      </c>
      <c r="B22" s="25" t="s">
        <v>216</v>
      </c>
      <c r="C22" s="7" t="s">
        <v>217</v>
      </c>
      <c r="D22" s="7" t="s">
        <v>218</v>
      </c>
      <c r="E22" s="7" t="s">
        <v>219</v>
      </c>
      <c r="F22" s="6" t="s">
        <v>220</v>
      </c>
      <c r="G22" s="7" t="s">
        <v>441</v>
      </c>
    </row>
    <row r="23" spans="1:7" ht="30.1" customHeight="1" x14ac:dyDescent="0.45">
      <c r="A23" s="24" t="s">
        <v>221</v>
      </c>
      <c r="B23" s="25" t="s">
        <v>222</v>
      </c>
      <c r="C23" s="7" t="s">
        <v>223</v>
      </c>
      <c r="D23" s="7" t="s">
        <v>168</v>
      </c>
      <c r="E23" s="7" t="s">
        <v>219</v>
      </c>
      <c r="F23" s="6" t="s">
        <v>220</v>
      </c>
      <c r="G23" s="7" t="s">
        <v>442</v>
      </c>
    </row>
    <row r="24" spans="1:7" ht="30.1" customHeight="1" x14ac:dyDescent="0.45">
      <c r="A24" s="24" t="s">
        <v>224</v>
      </c>
      <c r="B24" s="25" t="s">
        <v>225</v>
      </c>
      <c r="C24" s="7" t="s">
        <v>226</v>
      </c>
      <c r="D24" s="7" t="s">
        <v>227</v>
      </c>
      <c r="E24" s="7" t="s">
        <v>219</v>
      </c>
      <c r="F24" s="6" t="s">
        <v>220</v>
      </c>
      <c r="G24" s="7" t="s">
        <v>443</v>
      </c>
    </row>
    <row r="25" spans="1:7" ht="30.1" customHeight="1" x14ac:dyDescent="0.45">
      <c r="A25" s="24" t="s">
        <v>228</v>
      </c>
      <c r="B25" s="25" t="s">
        <v>229</v>
      </c>
      <c r="C25" s="7" t="s">
        <v>230</v>
      </c>
      <c r="D25" s="7" t="s">
        <v>176</v>
      </c>
      <c r="E25" s="7" t="s">
        <v>219</v>
      </c>
      <c r="F25" s="6" t="s">
        <v>220</v>
      </c>
      <c r="G25" s="7" t="s">
        <v>444</v>
      </c>
    </row>
    <row r="26" spans="1:7" ht="30.1" customHeight="1" x14ac:dyDescent="0.45">
      <c r="A26" s="24" t="s">
        <v>231</v>
      </c>
      <c r="B26" s="25" t="s">
        <v>232</v>
      </c>
      <c r="C26" s="7" t="s">
        <v>233</v>
      </c>
      <c r="D26" s="7" t="s">
        <v>234</v>
      </c>
      <c r="E26" s="7" t="s">
        <v>219</v>
      </c>
      <c r="F26" s="6" t="s">
        <v>220</v>
      </c>
      <c r="G26" s="7" t="s">
        <v>445</v>
      </c>
    </row>
    <row r="27" spans="1:7" ht="30.1" customHeight="1" x14ac:dyDescent="0.45">
      <c r="A27" s="24" t="s">
        <v>235</v>
      </c>
      <c r="B27" s="25" t="s">
        <v>236</v>
      </c>
      <c r="C27" s="7" t="s">
        <v>237</v>
      </c>
      <c r="D27" s="7" t="s">
        <v>238</v>
      </c>
      <c r="E27" s="7" t="s">
        <v>219</v>
      </c>
      <c r="F27" s="6" t="s">
        <v>220</v>
      </c>
      <c r="G27" s="7" t="s">
        <v>446</v>
      </c>
    </row>
    <row r="28" spans="1:7" ht="30.1" customHeight="1" x14ac:dyDescent="0.45">
      <c r="A28" s="24" t="s">
        <v>239</v>
      </c>
      <c r="B28" s="25" t="s">
        <v>240</v>
      </c>
      <c r="C28" s="7" t="s">
        <v>241</v>
      </c>
      <c r="D28" s="7" t="s">
        <v>470</v>
      </c>
      <c r="E28" s="7" t="s">
        <v>219</v>
      </c>
      <c r="F28" s="6" t="s">
        <v>220</v>
      </c>
      <c r="G28" s="7" t="s">
        <v>447</v>
      </c>
    </row>
    <row r="29" spans="1:7" ht="30.1" customHeight="1" x14ac:dyDescent="0.45">
      <c r="A29" s="24" t="s">
        <v>242</v>
      </c>
      <c r="B29" s="25" t="s">
        <v>243</v>
      </c>
      <c r="C29" s="7" t="s">
        <v>244</v>
      </c>
      <c r="D29" s="7" t="s">
        <v>473</v>
      </c>
      <c r="E29" s="7" t="s">
        <v>180</v>
      </c>
      <c r="F29" s="6" t="s">
        <v>181</v>
      </c>
      <c r="G29" s="7" t="s">
        <v>448</v>
      </c>
    </row>
    <row r="30" spans="1:7" ht="30.1" customHeight="1" x14ac:dyDescent="0.45">
      <c r="A30" s="24" t="s">
        <v>245</v>
      </c>
      <c r="B30" s="25" t="s">
        <v>246</v>
      </c>
      <c r="C30" s="7" t="s">
        <v>247</v>
      </c>
      <c r="D30" s="7" t="s">
        <v>470</v>
      </c>
      <c r="E30" s="7" t="s">
        <v>180</v>
      </c>
      <c r="F30" s="6" t="s">
        <v>181</v>
      </c>
      <c r="G30" s="7" t="s">
        <v>449</v>
      </c>
    </row>
    <row r="31" spans="1:7" ht="30.1" customHeight="1" x14ac:dyDescent="0.45">
      <c r="A31" s="24" t="s">
        <v>248</v>
      </c>
      <c r="B31" s="25" t="s">
        <v>249</v>
      </c>
      <c r="C31" s="7" t="s">
        <v>250</v>
      </c>
      <c r="D31" s="7" t="s">
        <v>129</v>
      </c>
      <c r="E31" s="7" t="s">
        <v>251</v>
      </c>
      <c r="F31" s="6" t="s">
        <v>252</v>
      </c>
      <c r="G31" s="7" t="s">
        <v>450</v>
      </c>
    </row>
    <row r="32" spans="1:7" ht="30.1" customHeight="1" x14ac:dyDescent="0.45">
      <c r="A32" s="24" t="s">
        <v>253</v>
      </c>
      <c r="B32" s="25" t="s">
        <v>254</v>
      </c>
      <c r="C32" s="7" t="s">
        <v>255</v>
      </c>
      <c r="D32" s="7" t="s">
        <v>256</v>
      </c>
      <c r="E32" s="7" t="s">
        <v>251</v>
      </c>
      <c r="F32" s="6" t="s">
        <v>252</v>
      </c>
      <c r="G32" s="7" t="s">
        <v>451</v>
      </c>
    </row>
    <row r="33" spans="1:7" ht="30.1" customHeight="1" x14ac:dyDescent="0.45">
      <c r="A33" s="24" t="s">
        <v>257</v>
      </c>
      <c r="B33" s="25" t="s">
        <v>258</v>
      </c>
      <c r="C33" s="7" t="s">
        <v>259</v>
      </c>
      <c r="D33" s="7" t="s">
        <v>129</v>
      </c>
      <c r="E33" s="7" t="s">
        <v>251</v>
      </c>
      <c r="F33" s="6" t="s">
        <v>252</v>
      </c>
      <c r="G33" s="7" t="s">
        <v>452</v>
      </c>
    </row>
    <row r="34" spans="1:7" ht="30.1" customHeight="1" x14ac:dyDescent="0.45">
      <c r="A34" s="24" t="s">
        <v>260</v>
      </c>
      <c r="B34" s="25" t="s">
        <v>261</v>
      </c>
      <c r="C34" s="7" t="s">
        <v>262</v>
      </c>
      <c r="D34" s="7" t="s">
        <v>129</v>
      </c>
      <c r="E34" s="7" t="s">
        <v>251</v>
      </c>
      <c r="F34" s="6" t="s">
        <v>252</v>
      </c>
      <c r="G34" s="7" t="s">
        <v>453</v>
      </c>
    </row>
    <row r="35" spans="1:7" ht="30.1" customHeight="1" x14ac:dyDescent="0.45">
      <c r="A35" s="24" t="s">
        <v>263</v>
      </c>
      <c r="B35" s="25" t="s">
        <v>264</v>
      </c>
      <c r="C35" s="7" t="s">
        <v>265</v>
      </c>
      <c r="D35" s="7" t="s">
        <v>464</v>
      </c>
      <c r="E35" s="7" t="s">
        <v>266</v>
      </c>
      <c r="F35" s="6" t="s">
        <v>267</v>
      </c>
      <c r="G35" s="7" t="s">
        <v>454</v>
      </c>
    </row>
    <row r="36" spans="1:7" ht="30.1" customHeight="1" x14ac:dyDescent="0.45">
      <c r="A36" s="24" t="s">
        <v>268</v>
      </c>
      <c r="B36" s="25" t="s">
        <v>269</v>
      </c>
      <c r="C36" s="7" t="s">
        <v>270</v>
      </c>
      <c r="D36" s="7" t="s">
        <v>271</v>
      </c>
      <c r="E36" s="7" t="s">
        <v>266</v>
      </c>
      <c r="F36" s="6" t="s">
        <v>267</v>
      </c>
      <c r="G36" s="7" t="s">
        <v>455</v>
      </c>
    </row>
    <row r="37" spans="1:7" ht="30.1" customHeight="1" x14ac:dyDescent="0.45">
      <c r="A37" s="24" t="s">
        <v>272</v>
      </c>
      <c r="B37" s="25" t="s">
        <v>273</v>
      </c>
      <c r="C37" s="7" t="s">
        <v>274</v>
      </c>
      <c r="D37" s="7" t="s">
        <v>129</v>
      </c>
      <c r="E37" s="7" t="s">
        <v>266</v>
      </c>
      <c r="F37" s="6" t="s">
        <v>267</v>
      </c>
      <c r="G37" s="7" t="s">
        <v>456</v>
      </c>
    </row>
    <row r="38" spans="1:7" ht="30.1" customHeight="1" x14ac:dyDescent="0.45">
      <c r="A38" s="24" t="s">
        <v>275</v>
      </c>
      <c r="B38" s="25" t="s">
        <v>276</v>
      </c>
      <c r="C38" s="7" t="s">
        <v>277</v>
      </c>
      <c r="D38" s="7" t="s">
        <v>129</v>
      </c>
      <c r="E38" s="7" t="s">
        <v>278</v>
      </c>
      <c r="F38" s="6" t="s">
        <v>279</v>
      </c>
      <c r="G38" s="7" t="s">
        <v>457</v>
      </c>
    </row>
    <row r="39" spans="1:7" ht="30.1" customHeight="1" x14ac:dyDescent="0.45">
      <c r="A39" s="24" t="s">
        <v>280</v>
      </c>
      <c r="B39" s="25" t="s">
        <v>281</v>
      </c>
      <c r="C39" s="7" t="s">
        <v>282</v>
      </c>
      <c r="D39" s="7" t="s">
        <v>129</v>
      </c>
      <c r="E39" s="7" t="s">
        <v>278</v>
      </c>
      <c r="F39" s="6" t="s">
        <v>279</v>
      </c>
      <c r="G39" s="7" t="s">
        <v>458</v>
      </c>
    </row>
  </sheetData>
  <mergeCells count="1">
    <mergeCell ref="A3:G3"/>
  </mergeCell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"/>
  <sheetViews>
    <sheetView showGridLines="0" zoomScaleNormal="100" workbookViewId="0">
      <pane ySplit="4" topLeftCell="A5" activePane="bottomLeft" state="frozen"/>
      <selection pane="bottomLeft" activeCell="F37" sqref="F37"/>
    </sheetView>
  </sheetViews>
  <sheetFormatPr defaultColWidth="8.6640625" defaultRowHeight="14.25" x14ac:dyDescent="0.45"/>
  <cols>
    <col min="1" max="1" width="9" customWidth="1"/>
    <col min="2" max="2" width="26" customWidth="1"/>
    <col min="3" max="3" width="9" customWidth="1"/>
    <col min="4" max="4" width="38" customWidth="1"/>
    <col min="5" max="5" width="8" customWidth="1"/>
    <col min="6" max="6" width="24" customWidth="1"/>
    <col min="7" max="7" width="8" customWidth="1"/>
  </cols>
  <sheetData>
    <row r="1" spans="1:7" ht="18" x14ac:dyDescent="0.55000000000000004">
      <c r="A1" s="2" t="s">
        <v>283</v>
      </c>
    </row>
    <row r="2" spans="1:7" x14ac:dyDescent="0.45">
      <c r="A2" s="1" t="s">
        <v>284</v>
      </c>
    </row>
    <row r="4" spans="1:7" ht="30.1" customHeight="1" x14ac:dyDescent="0.45">
      <c r="A4" s="5" t="s">
        <v>285</v>
      </c>
      <c r="B4" s="5" t="s">
        <v>286</v>
      </c>
      <c r="C4" s="5" t="s">
        <v>287</v>
      </c>
      <c r="D4" s="5" t="s">
        <v>288</v>
      </c>
      <c r="E4" s="5" t="s">
        <v>24</v>
      </c>
      <c r="F4" s="5" t="s">
        <v>289</v>
      </c>
      <c r="G4" s="5" t="s">
        <v>290</v>
      </c>
    </row>
    <row r="5" spans="1:7" ht="19.600000000000001" customHeight="1" x14ac:dyDescent="0.45">
      <c r="A5" s="8" t="s">
        <v>291</v>
      </c>
      <c r="B5" s="8" t="s">
        <v>6</v>
      </c>
      <c r="C5" s="9"/>
      <c r="D5" s="9"/>
      <c r="E5" s="9"/>
      <c r="F5" s="9"/>
      <c r="G5" s="9"/>
    </row>
    <row r="6" spans="1:7" x14ac:dyDescent="0.45">
      <c r="A6" s="7"/>
      <c r="B6" s="7"/>
      <c r="C6" s="6" t="s">
        <v>61</v>
      </c>
      <c r="D6" s="7" t="s">
        <v>292</v>
      </c>
      <c r="E6" s="6" t="s">
        <v>30</v>
      </c>
      <c r="F6" s="7" t="s">
        <v>464</v>
      </c>
      <c r="G6" s="6">
        <v>8</v>
      </c>
    </row>
    <row r="7" spans="1:7" x14ac:dyDescent="0.45">
      <c r="A7" s="7"/>
      <c r="B7" s="7"/>
      <c r="C7" s="6" t="s">
        <v>293</v>
      </c>
      <c r="D7" s="7" t="s">
        <v>294</v>
      </c>
      <c r="E7" s="6" t="s">
        <v>49</v>
      </c>
      <c r="F7" s="7" t="s">
        <v>464</v>
      </c>
      <c r="G7" s="6">
        <v>4</v>
      </c>
    </row>
    <row r="8" spans="1:7" x14ac:dyDescent="0.45">
      <c r="A8" s="7"/>
      <c r="B8" s="7"/>
      <c r="C8" s="6" t="s">
        <v>295</v>
      </c>
      <c r="D8" s="7" t="s">
        <v>296</v>
      </c>
      <c r="E8" s="6" t="s">
        <v>60</v>
      </c>
      <c r="F8" s="7" t="s">
        <v>464</v>
      </c>
      <c r="G8" s="6">
        <v>7</v>
      </c>
    </row>
    <row r="9" spans="1:7" x14ac:dyDescent="0.45">
      <c r="A9" s="7"/>
      <c r="B9" s="7"/>
      <c r="C9" s="6" t="s">
        <v>297</v>
      </c>
      <c r="D9" s="7" t="s">
        <v>298</v>
      </c>
      <c r="E9" s="6" t="s">
        <v>71</v>
      </c>
      <c r="F9" s="7" t="s">
        <v>464</v>
      </c>
      <c r="G9" s="6">
        <v>1</v>
      </c>
    </row>
    <row r="10" spans="1:7" x14ac:dyDescent="0.45">
      <c r="A10" s="7"/>
      <c r="B10" s="7"/>
      <c r="C10" s="6" t="s">
        <v>299</v>
      </c>
      <c r="D10" s="7" t="s">
        <v>300</v>
      </c>
      <c r="E10" s="6" t="s">
        <v>81</v>
      </c>
      <c r="F10" s="7" t="s">
        <v>464</v>
      </c>
      <c r="G10" s="6">
        <v>11</v>
      </c>
    </row>
    <row r="11" spans="1:7" x14ac:dyDescent="0.45">
      <c r="A11" s="7"/>
      <c r="B11" s="7"/>
      <c r="C11" s="6" t="s">
        <v>301</v>
      </c>
      <c r="D11" s="7" t="s">
        <v>302</v>
      </c>
      <c r="E11" s="6" t="s">
        <v>125</v>
      </c>
      <c r="F11" s="7" t="s">
        <v>129</v>
      </c>
      <c r="G11" s="6">
        <v>3</v>
      </c>
    </row>
    <row r="12" spans="1:7" ht="19.600000000000001" customHeight="1" x14ac:dyDescent="0.45">
      <c r="A12" s="8" t="s">
        <v>303</v>
      </c>
      <c r="B12" s="8" t="s">
        <v>7</v>
      </c>
      <c r="C12" s="9"/>
      <c r="D12" s="9"/>
      <c r="E12" s="9"/>
      <c r="F12" s="9"/>
      <c r="G12" s="9"/>
    </row>
    <row r="13" spans="1:7" x14ac:dyDescent="0.45">
      <c r="A13" s="7"/>
      <c r="B13" s="7"/>
      <c r="C13" s="6" t="s">
        <v>106</v>
      </c>
      <c r="D13" s="7" t="s">
        <v>304</v>
      </c>
      <c r="E13" s="6" t="s">
        <v>138</v>
      </c>
      <c r="F13" s="7" t="s">
        <v>474</v>
      </c>
      <c r="G13" s="6">
        <v>3</v>
      </c>
    </row>
    <row r="14" spans="1:7" x14ac:dyDescent="0.45">
      <c r="A14" s="7"/>
      <c r="B14" s="7"/>
      <c r="C14" s="6" t="s">
        <v>305</v>
      </c>
      <c r="D14" s="7" t="s">
        <v>306</v>
      </c>
      <c r="E14" s="6" t="s">
        <v>149</v>
      </c>
      <c r="F14" s="7" t="s">
        <v>129</v>
      </c>
      <c r="G14" s="6">
        <v>3</v>
      </c>
    </row>
    <row r="15" spans="1:7" ht="19.600000000000001" customHeight="1" x14ac:dyDescent="0.45">
      <c r="A15" s="8" t="s">
        <v>307</v>
      </c>
      <c r="B15" s="8" t="s">
        <v>9</v>
      </c>
      <c r="C15" s="9"/>
      <c r="D15" s="9"/>
      <c r="E15" s="9"/>
      <c r="F15" s="9"/>
      <c r="G15" s="9"/>
    </row>
    <row r="16" spans="1:7" x14ac:dyDescent="0.45">
      <c r="A16" s="7"/>
      <c r="B16" s="7"/>
      <c r="C16" s="6" t="s">
        <v>187</v>
      </c>
      <c r="D16" s="7" t="s">
        <v>308</v>
      </c>
      <c r="E16" s="6" t="s">
        <v>161</v>
      </c>
      <c r="F16" s="7" t="s">
        <v>129</v>
      </c>
      <c r="G16" s="6">
        <v>8</v>
      </c>
    </row>
    <row r="17" spans="1:7" x14ac:dyDescent="0.45">
      <c r="A17" s="7"/>
      <c r="B17" s="7"/>
      <c r="C17" s="6" t="s">
        <v>309</v>
      </c>
      <c r="D17" s="7" t="s">
        <v>310</v>
      </c>
      <c r="E17" s="6" t="s">
        <v>186</v>
      </c>
      <c r="F17" s="7" t="s">
        <v>464</v>
      </c>
      <c r="G17" s="6">
        <v>2</v>
      </c>
    </row>
    <row r="18" spans="1:7" x14ac:dyDescent="0.45">
      <c r="A18" s="7"/>
      <c r="B18" s="7"/>
      <c r="C18" s="6" t="s">
        <v>311</v>
      </c>
      <c r="D18" s="7" t="s">
        <v>312</v>
      </c>
      <c r="E18" s="6" t="s">
        <v>181</v>
      </c>
      <c r="F18" s="7" t="s">
        <v>464</v>
      </c>
      <c r="G18" s="6">
        <v>3</v>
      </c>
    </row>
    <row r="19" spans="1:7" x14ac:dyDescent="0.45">
      <c r="A19" s="7"/>
      <c r="B19" s="7"/>
      <c r="C19" s="6" t="s">
        <v>313</v>
      </c>
      <c r="D19" s="7" t="s">
        <v>314</v>
      </c>
      <c r="E19" s="6" t="s">
        <v>202</v>
      </c>
      <c r="F19" s="7" t="s">
        <v>129</v>
      </c>
      <c r="G19" s="6">
        <v>5</v>
      </c>
    </row>
    <row r="20" spans="1:7" x14ac:dyDescent="0.45">
      <c r="A20" s="7"/>
      <c r="B20" s="7"/>
      <c r="C20" s="6" t="s">
        <v>315</v>
      </c>
      <c r="D20" s="7" t="s">
        <v>316</v>
      </c>
      <c r="E20" s="6" t="s">
        <v>220</v>
      </c>
      <c r="F20" s="7" t="s">
        <v>129</v>
      </c>
      <c r="G20" s="6">
        <v>7</v>
      </c>
    </row>
    <row r="21" spans="1:7" x14ac:dyDescent="0.45">
      <c r="A21" s="7"/>
      <c r="B21" s="7"/>
      <c r="C21" s="6" t="s">
        <v>317</v>
      </c>
      <c r="D21" s="7" t="s">
        <v>318</v>
      </c>
      <c r="E21" s="6" t="s">
        <v>252</v>
      </c>
      <c r="F21" s="7" t="s">
        <v>129</v>
      </c>
      <c r="G21" s="6">
        <v>4</v>
      </c>
    </row>
    <row r="22" spans="1:7" x14ac:dyDescent="0.45">
      <c r="A22" s="7"/>
      <c r="B22" s="7"/>
      <c r="C22" s="6" t="s">
        <v>319</v>
      </c>
      <c r="D22" s="7" t="s">
        <v>320</v>
      </c>
      <c r="E22" s="6" t="s">
        <v>267</v>
      </c>
      <c r="F22" s="7" t="s">
        <v>464</v>
      </c>
      <c r="G22" s="6">
        <v>3</v>
      </c>
    </row>
    <row r="23" spans="1:7" x14ac:dyDescent="0.45">
      <c r="A23" s="7"/>
      <c r="B23" s="7"/>
      <c r="C23" s="6" t="s">
        <v>321</v>
      </c>
      <c r="D23" s="7" t="s">
        <v>322</v>
      </c>
      <c r="E23" s="6" t="s">
        <v>279</v>
      </c>
      <c r="F23" s="7" t="s">
        <v>129</v>
      </c>
      <c r="G23" s="6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76"/>
  <sheetViews>
    <sheetView showGridLines="0" zoomScaleNormal="100" workbookViewId="0">
      <pane xSplit="2" ySplit="3" topLeftCell="C17" activePane="bottomRight" state="frozen"/>
      <selection pane="topRight" activeCell="C1" sqref="C1"/>
      <selection pane="bottomLeft" activeCell="A4" sqref="A4"/>
      <selection pane="bottomRight" activeCell="A4" sqref="A4:A23"/>
    </sheetView>
  </sheetViews>
  <sheetFormatPr defaultColWidth="8.6640625" defaultRowHeight="14.25" x14ac:dyDescent="0.45"/>
  <cols>
    <col min="1" max="1" width="9" customWidth="1"/>
    <col min="2" max="2" width="22" customWidth="1"/>
    <col min="3" max="3" width="40" customWidth="1"/>
    <col min="4" max="4" width="54" customWidth="1"/>
    <col min="5" max="5" width="14" customWidth="1"/>
    <col min="6" max="6" width="13" customWidth="1"/>
    <col min="7" max="7" width="11" customWidth="1"/>
    <col min="8" max="8" width="26" customWidth="1"/>
    <col min="9" max="9" width="18" customWidth="1"/>
    <col min="10" max="10" width="16" customWidth="1"/>
    <col min="11" max="11" width="12" customWidth="1"/>
    <col min="12" max="12" width="13" customWidth="1"/>
    <col min="13" max="13" width="22" customWidth="1"/>
    <col min="14" max="14" width="30" customWidth="1"/>
    <col min="15" max="15" width="24" customWidth="1"/>
    <col min="16" max="16" width="22" customWidth="1"/>
    <col min="17" max="17" width="34" customWidth="1"/>
    <col min="18" max="18" width="8" customWidth="1"/>
    <col min="19" max="19" width="40" customWidth="1"/>
  </cols>
  <sheetData>
    <row r="1" spans="1:19" ht="18" x14ac:dyDescent="0.55000000000000004">
      <c r="A1" s="21" t="s">
        <v>459</v>
      </c>
      <c r="B1" s="21"/>
      <c r="C1" s="21"/>
      <c r="D1" s="21"/>
    </row>
    <row r="3" spans="1:19" ht="30.1" customHeight="1" x14ac:dyDescent="0.45">
      <c r="A3" s="10" t="s">
        <v>19</v>
      </c>
      <c r="B3" s="10" t="s">
        <v>323</v>
      </c>
      <c r="C3" s="10" t="s">
        <v>20</v>
      </c>
      <c r="D3" s="10" t="s">
        <v>21</v>
      </c>
      <c r="E3" s="10" t="s">
        <v>324</v>
      </c>
      <c r="F3" s="10" t="s">
        <v>325</v>
      </c>
      <c r="G3" s="10" t="s">
        <v>326</v>
      </c>
      <c r="H3" s="10" t="s">
        <v>22</v>
      </c>
      <c r="I3" s="10" t="s">
        <v>327</v>
      </c>
      <c r="J3" s="10" t="s">
        <v>328</v>
      </c>
      <c r="K3" s="10" t="s">
        <v>329</v>
      </c>
      <c r="L3" s="10" t="s">
        <v>330</v>
      </c>
      <c r="M3" s="10" t="s">
        <v>331</v>
      </c>
      <c r="N3" s="10" t="s">
        <v>332</v>
      </c>
      <c r="O3" s="10" t="s">
        <v>333</v>
      </c>
      <c r="P3" s="10" t="s">
        <v>334</v>
      </c>
      <c r="Q3" s="10" t="s">
        <v>288</v>
      </c>
      <c r="R3" s="10" t="s">
        <v>24</v>
      </c>
      <c r="S3" s="10" t="s">
        <v>25</v>
      </c>
    </row>
    <row r="4" spans="1:19" ht="30.1" customHeight="1" x14ac:dyDescent="0.45">
      <c r="A4" s="6" t="s">
        <v>26</v>
      </c>
      <c r="B4" s="7" t="s">
        <v>6</v>
      </c>
      <c r="C4" s="7" t="s">
        <v>27</v>
      </c>
      <c r="D4" s="7" t="s">
        <v>28</v>
      </c>
      <c r="E4" s="6" t="s">
        <v>335</v>
      </c>
      <c r="F4" s="6" t="s">
        <v>336</v>
      </c>
      <c r="G4" s="6"/>
      <c r="H4" s="7" t="s">
        <v>464</v>
      </c>
      <c r="I4" s="7"/>
      <c r="J4" s="7"/>
      <c r="K4" s="7"/>
      <c r="L4" s="6" t="s">
        <v>337</v>
      </c>
      <c r="M4" s="7"/>
      <c r="N4" s="7" t="s">
        <v>338</v>
      </c>
      <c r="O4" s="7"/>
      <c r="P4" s="7" t="s">
        <v>6</v>
      </c>
      <c r="Q4" s="7" t="s">
        <v>29</v>
      </c>
      <c r="R4" s="6" t="s">
        <v>30</v>
      </c>
      <c r="S4" s="7" t="s">
        <v>386</v>
      </c>
    </row>
    <row r="5" spans="1:19" ht="30.1" customHeight="1" x14ac:dyDescent="0.45">
      <c r="A5" s="6" t="s">
        <v>31</v>
      </c>
      <c r="B5" s="7" t="s">
        <v>6</v>
      </c>
      <c r="C5" s="7" t="s">
        <v>32</v>
      </c>
      <c r="D5" s="7" t="s">
        <v>465</v>
      </c>
      <c r="E5" s="6" t="s">
        <v>335</v>
      </c>
      <c r="F5" s="6" t="s">
        <v>336</v>
      </c>
      <c r="G5" s="6"/>
      <c r="H5" s="7" t="s">
        <v>464</v>
      </c>
      <c r="I5" s="7"/>
      <c r="J5" s="7"/>
      <c r="K5" s="7"/>
      <c r="L5" s="6" t="s">
        <v>337</v>
      </c>
      <c r="M5" s="7"/>
      <c r="N5" s="7" t="s">
        <v>338</v>
      </c>
      <c r="O5" s="7"/>
      <c r="P5" s="7" t="s">
        <v>6</v>
      </c>
      <c r="Q5" s="7" t="s">
        <v>29</v>
      </c>
      <c r="R5" s="6" t="s">
        <v>30</v>
      </c>
      <c r="S5" s="7" t="s">
        <v>387</v>
      </c>
    </row>
    <row r="6" spans="1:19" ht="30.1" customHeight="1" x14ac:dyDescent="0.45">
      <c r="A6" s="6" t="s">
        <v>33</v>
      </c>
      <c r="B6" s="7" t="s">
        <v>6</v>
      </c>
      <c r="C6" s="7" t="s">
        <v>34</v>
      </c>
      <c r="D6" s="7" t="s">
        <v>35</v>
      </c>
      <c r="E6" s="6" t="s">
        <v>335</v>
      </c>
      <c r="F6" s="6" t="s">
        <v>336</v>
      </c>
      <c r="G6" s="6"/>
      <c r="H6" s="7" t="s">
        <v>464</v>
      </c>
      <c r="I6" s="7"/>
      <c r="J6" s="7"/>
      <c r="K6" s="7"/>
      <c r="L6" s="6" t="s">
        <v>337</v>
      </c>
      <c r="M6" s="7"/>
      <c r="N6" s="7" t="s">
        <v>338</v>
      </c>
      <c r="O6" s="7"/>
      <c r="P6" s="7" t="s">
        <v>6</v>
      </c>
      <c r="Q6" s="7" t="s">
        <v>29</v>
      </c>
      <c r="R6" s="6" t="s">
        <v>30</v>
      </c>
      <c r="S6" s="7" t="s">
        <v>388</v>
      </c>
    </row>
    <row r="7" spans="1:19" ht="30.1" customHeight="1" x14ac:dyDescent="0.45">
      <c r="A7" s="6" t="s">
        <v>36</v>
      </c>
      <c r="B7" s="7" t="s">
        <v>6</v>
      </c>
      <c r="C7" s="7" t="s">
        <v>37</v>
      </c>
      <c r="D7" s="7" t="s">
        <v>38</v>
      </c>
      <c r="E7" s="6" t="s">
        <v>335</v>
      </c>
      <c r="F7" s="6" t="s">
        <v>336</v>
      </c>
      <c r="G7" s="6"/>
      <c r="H7" s="7" t="s">
        <v>464</v>
      </c>
      <c r="I7" s="7"/>
      <c r="J7" s="7"/>
      <c r="K7" s="7"/>
      <c r="L7" s="6" t="s">
        <v>337</v>
      </c>
      <c r="M7" s="7"/>
      <c r="N7" s="7" t="s">
        <v>338</v>
      </c>
      <c r="O7" s="7"/>
      <c r="P7" s="7" t="s">
        <v>6</v>
      </c>
      <c r="Q7" s="7" t="s">
        <v>29</v>
      </c>
      <c r="R7" s="6" t="s">
        <v>30</v>
      </c>
      <c r="S7" s="7" t="s">
        <v>389</v>
      </c>
    </row>
    <row r="8" spans="1:19" ht="30.1" customHeight="1" x14ac:dyDescent="0.45">
      <c r="A8" s="6" t="s">
        <v>39</v>
      </c>
      <c r="B8" s="7" t="s">
        <v>6</v>
      </c>
      <c r="C8" s="7" t="s">
        <v>40</v>
      </c>
      <c r="D8" s="7" t="s">
        <v>41</v>
      </c>
      <c r="E8" s="6" t="s">
        <v>335</v>
      </c>
      <c r="F8" s="6" t="s">
        <v>336</v>
      </c>
      <c r="G8" s="6"/>
      <c r="H8" s="7" t="s">
        <v>464</v>
      </c>
      <c r="I8" s="7"/>
      <c r="J8" s="7"/>
      <c r="K8" s="7"/>
      <c r="L8" s="6" t="s">
        <v>337</v>
      </c>
      <c r="M8" s="7"/>
      <c r="N8" s="7" t="s">
        <v>338</v>
      </c>
      <c r="O8" s="7"/>
      <c r="P8" s="7" t="s">
        <v>6</v>
      </c>
      <c r="Q8" s="7" t="s">
        <v>29</v>
      </c>
      <c r="R8" s="6" t="s">
        <v>30</v>
      </c>
      <c r="S8" s="7" t="s">
        <v>390</v>
      </c>
    </row>
    <row r="9" spans="1:19" ht="30.1" customHeight="1" x14ac:dyDescent="0.45">
      <c r="A9" s="6">
        <v>0.06</v>
      </c>
      <c r="B9" s="7" t="s">
        <v>6</v>
      </c>
      <c r="C9" s="7" t="s">
        <v>42</v>
      </c>
      <c r="D9" s="7" t="s">
        <v>43</v>
      </c>
      <c r="E9" s="6" t="s">
        <v>335</v>
      </c>
      <c r="F9" s="6" t="s">
        <v>336</v>
      </c>
      <c r="G9" s="6"/>
      <c r="H9" s="7" t="s">
        <v>464</v>
      </c>
      <c r="I9" s="7"/>
      <c r="J9" s="7"/>
      <c r="K9" s="7"/>
      <c r="L9" s="6" t="s">
        <v>337</v>
      </c>
      <c r="M9" s="7"/>
      <c r="N9" s="7" t="s">
        <v>338</v>
      </c>
      <c r="O9" s="7"/>
      <c r="P9" s="7" t="s">
        <v>6</v>
      </c>
      <c r="Q9" s="7" t="s">
        <v>29</v>
      </c>
      <c r="R9" s="6" t="s">
        <v>30</v>
      </c>
      <c r="S9" s="7" t="s">
        <v>391</v>
      </c>
    </row>
    <row r="10" spans="1:19" ht="30.1" customHeight="1" x14ac:dyDescent="0.45">
      <c r="A10" s="6">
        <v>7.0000000000000007E-2</v>
      </c>
      <c r="B10" s="7" t="s">
        <v>6</v>
      </c>
      <c r="C10" s="7" t="s">
        <v>44</v>
      </c>
      <c r="D10" s="7" t="s">
        <v>45</v>
      </c>
      <c r="E10" s="6" t="s">
        <v>335</v>
      </c>
      <c r="F10" s="6" t="s">
        <v>336</v>
      </c>
      <c r="G10" s="6"/>
      <c r="H10" s="7" t="s">
        <v>464</v>
      </c>
      <c r="I10" s="7"/>
      <c r="J10" s="7"/>
      <c r="K10" s="7"/>
      <c r="L10" s="6" t="s">
        <v>337</v>
      </c>
      <c r="M10" s="7"/>
      <c r="N10" s="7" t="s">
        <v>338</v>
      </c>
      <c r="O10" s="7"/>
      <c r="P10" s="7" t="s">
        <v>6</v>
      </c>
      <c r="Q10" s="7" t="s">
        <v>29</v>
      </c>
      <c r="R10" s="6" t="s">
        <v>30</v>
      </c>
      <c r="S10" s="7" t="s">
        <v>392</v>
      </c>
    </row>
    <row r="11" spans="1:19" ht="30.1" customHeight="1" x14ac:dyDescent="0.45">
      <c r="A11" s="6" t="s">
        <v>46</v>
      </c>
      <c r="B11" s="7" t="s">
        <v>6</v>
      </c>
      <c r="C11" s="7" t="s">
        <v>47</v>
      </c>
      <c r="D11" s="7" t="s">
        <v>466</v>
      </c>
      <c r="E11" s="6" t="s">
        <v>335</v>
      </c>
      <c r="F11" s="6" t="s">
        <v>336</v>
      </c>
      <c r="G11" s="6"/>
      <c r="H11" s="7" t="s">
        <v>464</v>
      </c>
      <c r="I11" s="7"/>
      <c r="J11" s="7"/>
      <c r="K11" s="7"/>
      <c r="L11" s="6" t="s">
        <v>337</v>
      </c>
      <c r="M11" s="7"/>
      <c r="N11" s="7" t="s">
        <v>338</v>
      </c>
      <c r="O11" s="7"/>
      <c r="P11" s="7" t="s">
        <v>6</v>
      </c>
      <c r="Q11" s="7" t="s">
        <v>48</v>
      </c>
      <c r="R11" s="6" t="s">
        <v>49</v>
      </c>
      <c r="S11" s="7" t="s">
        <v>393</v>
      </c>
    </row>
    <row r="12" spans="1:19" ht="30.1" customHeight="1" x14ac:dyDescent="0.45">
      <c r="A12" s="6" t="s">
        <v>50</v>
      </c>
      <c r="B12" s="7" t="s">
        <v>6</v>
      </c>
      <c r="C12" s="7" t="s">
        <v>51</v>
      </c>
      <c r="D12" s="7" t="s">
        <v>52</v>
      </c>
      <c r="E12" s="6" t="s">
        <v>335</v>
      </c>
      <c r="F12" s="6" t="s">
        <v>336</v>
      </c>
      <c r="G12" s="6"/>
      <c r="H12" s="7" t="s">
        <v>464</v>
      </c>
      <c r="I12" s="7"/>
      <c r="J12" s="7"/>
      <c r="K12" s="7"/>
      <c r="L12" s="6" t="s">
        <v>337</v>
      </c>
      <c r="M12" s="7"/>
      <c r="N12" s="7" t="s">
        <v>338</v>
      </c>
      <c r="O12" s="7"/>
      <c r="P12" s="7" t="s">
        <v>6</v>
      </c>
      <c r="Q12" s="7" t="s">
        <v>48</v>
      </c>
      <c r="R12" s="6" t="s">
        <v>49</v>
      </c>
      <c r="S12" s="7" t="s">
        <v>394</v>
      </c>
    </row>
    <row r="13" spans="1:19" ht="30.1" customHeight="1" x14ac:dyDescent="0.45">
      <c r="A13" s="6" t="s">
        <v>53</v>
      </c>
      <c r="B13" s="7" t="s">
        <v>6</v>
      </c>
      <c r="C13" s="7" t="s">
        <v>54</v>
      </c>
      <c r="D13" s="7" t="s">
        <v>55</v>
      </c>
      <c r="E13" s="6" t="s">
        <v>335</v>
      </c>
      <c r="F13" s="6" t="s">
        <v>336</v>
      </c>
      <c r="G13" s="6"/>
      <c r="H13" s="7" t="s">
        <v>464</v>
      </c>
      <c r="I13" s="7"/>
      <c r="J13" s="7"/>
      <c r="K13" s="7"/>
      <c r="L13" s="6" t="s">
        <v>337</v>
      </c>
      <c r="M13" s="7"/>
      <c r="N13" s="7" t="s">
        <v>338</v>
      </c>
      <c r="O13" s="7"/>
      <c r="P13" s="7" t="s">
        <v>6</v>
      </c>
      <c r="Q13" s="7" t="s">
        <v>48</v>
      </c>
      <c r="R13" s="6" t="s">
        <v>49</v>
      </c>
      <c r="S13" s="7" t="s">
        <v>395</v>
      </c>
    </row>
    <row r="14" spans="1:19" ht="30.1" customHeight="1" x14ac:dyDescent="0.45">
      <c r="A14" s="6" t="s">
        <v>56</v>
      </c>
      <c r="B14" s="7" t="s">
        <v>6</v>
      </c>
      <c r="C14" s="7" t="s">
        <v>57</v>
      </c>
      <c r="D14" s="7" t="s">
        <v>58</v>
      </c>
      <c r="E14" s="6" t="s">
        <v>335</v>
      </c>
      <c r="F14" s="6" t="s">
        <v>336</v>
      </c>
      <c r="G14" s="6"/>
      <c r="H14" s="7" t="s">
        <v>464</v>
      </c>
      <c r="I14" s="7"/>
      <c r="J14" s="7"/>
      <c r="K14" s="7"/>
      <c r="L14" s="6" t="s">
        <v>337</v>
      </c>
      <c r="M14" s="7"/>
      <c r="N14" s="7" t="s">
        <v>338</v>
      </c>
      <c r="O14" s="7"/>
      <c r="P14" s="7" t="s">
        <v>6</v>
      </c>
      <c r="Q14" s="7" t="s">
        <v>59</v>
      </c>
      <c r="R14" s="6" t="s">
        <v>60</v>
      </c>
      <c r="S14" s="7" t="s">
        <v>396</v>
      </c>
    </row>
    <row r="15" spans="1:19" ht="30.1" customHeight="1" x14ac:dyDescent="0.45">
      <c r="A15" s="6" t="s">
        <v>61</v>
      </c>
      <c r="B15" s="7" t="s">
        <v>6</v>
      </c>
      <c r="C15" s="7" t="s">
        <v>62</v>
      </c>
      <c r="D15" s="7" t="s">
        <v>63</v>
      </c>
      <c r="E15" s="6" t="s">
        <v>335</v>
      </c>
      <c r="F15" s="6" t="s">
        <v>336</v>
      </c>
      <c r="G15" s="6"/>
      <c r="H15" s="7" t="s">
        <v>464</v>
      </c>
      <c r="I15" s="7"/>
      <c r="J15" s="7"/>
      <c r="K15" s="7"/>
      <c r="L15" s="6" t="s">
        <v>337</v>
      </c>
      <c r="M15" s="7"/>
      <c r="N15" s="7" t="s">
        <v>338</v>
      </c>
      <c r="O15" s="7"/>
      <c r="P15" s="7" t="s">
        <v>6</v>
      </c>
      <c r="Q15" s="7" t="s">
        <v>59</v>
      </c>
      <c r="R15" s="6" t="s">
        <v>60</v>
      </c>
      <c r="S15" s="7" t="s">
        <v>397</v>
      </c>
    </row>
    <row r="16" spans="1:19" ht="30.1" customHeight="1" x14ac:dyDescent="0.45">
      <c r="A16" s="6" t="s">
        <v>64</v>
      </c>
      <c r="B16" s="7" t="s">
        <v>6</v>
      </c>
      <c r="C16" s="7" t="s">
        <v>65</v>
      </c>
      <c r="D16" s="7" t="s">
        <v>66</v>
      </c>
      <c r="E16" s="6" t="s">
        <v>335</v>
      </c>
      <c r="F16" s="6" t="s">
        <v>336</v>
      </c>
      <c r="G16" s="6"/>
      <c r="H16" s="7" t="s">
        <v>464</v>
      </c>
      <c r="I16" s="7"/>
      <c r="J16" s="7"/>
      <c r="K16" s="7"/>
      <c r="L16" s="6" t="s">
        <v>337</v>
      </c>
      <c r="M16" s="7"/>
      <c r="N16" s="7" t="s">
        <v>338</v>
      </c>
      <c r="O16" s="7"/>
      <c r="P16" s="7" t="s">
        <v>6</v>
      </c>
      <c r="Q16" s="7" t="s">
        <v>59</v>
      </c>
      <c r="R16" s="6" t="s">
        <v>60</v>
      </c>
      <c r="S16" s="7" t="s">
        <v>398</v>
      </c>
    </row>
    <row r="17" spans="1:19" ht="30.1" customHeight="1" x14ac:dyDescent="0.45">
      <c r="A17" s="6" t="s">
        <v>67</v>
      </c>
      <c r="B17" s="7" t="s">
        <v>6</v>
      </c>
      <c r="C17" s="7" t="s">
        <v>68</v>
      </c>
      <c r="D17" s="7" t="s">
        <v>69</v>
      </c>
      <c r="E17" s="6" t="s">
        <v>335</v>
      </c>
      <c r="F17" s="6" t="s">
        <v>336</v>
      </c>
      <c r="G17" s="6"/>
      <c r="H17" s="7" t="s">
        <v>464</v>
      </c>
      <c r="I17" s="7"/>
      <c r="J17" s="7"/>
      <c r="K17" s="7"/>
      <c r="L17" s="6" t="s">
        <v>337</v>
      </c>
      <c r="M17" s="7"/>
      <c r="N17" s="7" t="s">
        <v>338</v>
      </c>
      <c r="O17" s="7"/>
      <c r="P17" s="7" t="s">
        <v>6</v>
      </c>
      <c r="Q17" s="7" t="s">
        <v>70</v>
      </c>
      <c r="R17" s="6" t="s">
        <v>71</v>
      </c>
      <c r="S17" s="7" t="s">
        <v>399</v>
      </c>
    </row>
    <row r="18" spans="1:19" ht="30.1" customHeight="1" x14ac:dyDescent="0.45">
      <c r="A18" s="6" t="s">
        <v>72</v>
      </c>
      <c r="B18" s="7" t="s">
        <v>6</v>
      </c>
      <c r="C18" s="7" t="s">
        <v>73</v>
      </c>
      <c r="D18" s="7" t="s">
        <v>74</v>
      </c>
      <c r="E18" s="6" t="s">
        <v>335</v>
      </c>
      <c r="F18" s="6" t="s">
        <v>336</v>
      </c>
      <c r="G18" s="6"/>
      <c r="H18" s="7" t="s">
        <v>467</v>
      </c>
      <c r="I18" s="7"/>
      <c r="J18" s="7"/>
      <c r="K18" s="7"/>
      <c r="L18" s="6" t="s">
        <v>337</v>
      </c>
      <c r="M18" s="7"/>
      <c r="N18" s="7" t="s">
        <v>338</v>
      </c>
      <c r="O18" s="7"/>
      <c r="P18" s="7" t="s">
        <v>6</v>
      </c>
      <c r="Q18" s="7" t="s">
        <v>59</v>
      </c>
      <c r="R18" s="6" t="s">
        <v>60</v>
      </c>
      <c r="S18" s="7" t="s">
        <v>400</v>
      </c>
    </row>
    <row r="19" spans="1:19" ht="30.1" customHeight="1" x14ac:dyDescent="0.45">
      <c r="A19" s="6" t="s">
        <v>75</v>
      </c>
      <c r="B19" s="7" t="s">
        <v>6</v>
      </c>
      <c r="C19" s="7" t="s">
        <v>76</v>
      </c>
      <c r="D19" s="7" t="s">
        <v>468</v>
      </c>
      <c r="E19" s="6" t="s">
        <v>335</v>
      </c>
      <c r="F19" s="6" t="s">
        <v>336</v>
      </c>
      <c r="G19" s="6"/>
      <c r="H19" s="7" t="s">
        <v>464</v>
      </c>
      <c r="I19" s="7"/>
      <c r="J19" s="7"/>
      <c r="K19" s="7"/>
      <c r="L19" s="6" t="s">
        <v>337</v>
      </c>
      <c r="M19" s="7"/>
      <c r="N19" s="7" t="s">
        <v>338</v>
      </c>
      <c r="O19" s="7"/>
      <c r="P19" s="7" t="s">
        <v>6</v>
      </c>
      <c r="Q19" s="7" t="s">
        <v>48</v>
      </c>
      <c r="R19" s="6" t="s">
        <v>49</v>
      </c>
      <c r="S19" s="7" t="s">
        <v>401</v>
      </c>
    </row>
    <row r="20" spans="1:19" ht="30.1" customHeight="1" x14ac:dyDescent="0.45">
      <c r="A20" s="6" t="s">
        <v>82</v>
      </c>
      <c r="B20" s="7" t="s">
        <v>6</v>
      </c>
      <c r="C20" s="7" t="s">
        <v>83</v>
      </c>
      <c r="D20" s="7" t="s">
        <v>84</v>
      </c>
      <c r="E20" s="6" t="s">
        <v>335</v>
      </c>
      <c r="F20" s="6" t="s">
        <v>336</v>
      </c>
      <c r="G20" s="6"/>
      <c r="H20" s="7" t="s">
        <v>464</v>
      </c>
      <c r="I20" s="7"/>
      <c r="J20" s="7"/>
      <c r="K20" s="7"/>
      <c r="L20" s="6" t="s">
        <v>337</v>
      </c>
      <c r="M20" s="7"/>
      <c r="N20" s="7" t="s">
        <v>338</v>
      </c>
      <c r="O20" s="7"/>
      <c r="P20" s="7" t="s">
        <v>6</v>
      </c>
      <c r="Q20" s="7" t="s">
        <v>59</v>
      </c>
      <c r="R20" s="6" t="s">
        <v>60</v>
      </c>
      <c r="S20" s="7" t="s">
        <v>402</v>
      </c>
    </row>
    <row r="21" spans="1:19" ht="30.1" customHeight="1" x14ac:dyDescent="0.45">
      <c r="A21" s="6" t="s">
        <v>91</v>
      </c>
      <c r="B21" s="7" t="s">
        <v>6</v>
      </c>
      <c r="C21" s="7" t="s">
        <v>92</v>
      </c>
      <c r="D21" s="7" t="s">
        <v>93</v>
      </c>
      <c r="E21" s="6" t="s">
        <v>335</v>
      </c>
      <c r="F21" s="6" t="s">
        <v>336</v>
      </c>
      <c r="G21" s="6"/>
      <c r="H21" s="7" t="s">
        <v>464</v>
      </c>
      <c r="I21" s="7"/>
      <c r="J21" s="7"/>
      <c r="K21" s="7"/>
      <c r="L21" s="6" t="s">
        <v>337</v>
      </c>
      <c r="M21" s="7"/>
      <c r="N21" s="7" t="s">
        <v>338</v>
      </c>
      <c r="O21" s="7"/>
      <c r="P21" s="7" t="s">
        <v>6</v>
      </c>
      <c r="Q21" s="7" t="s">
        <v>80</v>
      </c>
      <c r="R21" s="6" t="s">
        <v>81</v>
      </c>
      <c r="S21" s="7" t="s">
        <v>403</v>
      </c>
    </row>
    <row r="22" spans="1:19" ht="30.1" customHeight="1" x14ac:dyDescent="0.45">
      <c r="A22" s="6" t="s">
        <v>115</v>
      </c>
      <c r="B22" s="7" t="s">
        <v>6</v>
      </c>
      <c r="C22" s="7" t="s">
        <v>116</v>
      </c>
      <c r="D22" s="7" t="s">
        <v>117</v>
      </c>
      <c r="E22" s="6" t="s">
        <v>335</v>
      </c>
      <c r="F22" s="6" t="s">
        <v>336</v>
      </c>
      <c r="G22" s="6"/>
      <c r="H22" s="7" t="s">
        <v>464</v>
      </c>
      <c r="I22" s="7"/>
      <c r="J22" s="7"/>
      <c r="K22" s="7"/>
      <c r="L22" s="6" t="s">
        <v>337</v>
      </c>
      <c r="M22" s="7"/>
      <c r="N22" s="7" t="s">
        <v>338</v>
      </c>
      <c r="O22" s="7"/>
      <c r="P22" s="7" t="s">
        <v>6</v>
      </c>
      <c r="Q22" s="7" t="s">
        <v>59</v>
      </c>
      <c r="R22" s="6" t="s">
        <v>60</v>
      </c>
      <c r="S22" s="7" t="s">
        <v>404</v>
      </c>
    </row>
    <row r="23" spans="1:19" ht="30.1" customHeight="1" x14ac:dyDescent="0.45">
      <c r="A23" s="6" t="s">
        <v>118</v>
      </c>
      <c r="B23" s="7" t="s">
        <v>6</v>
      </c>
      <c r="C23" s="7" t="s">
        <v>119</v>
      </c>
      <c r="D23" s="7" t="s">
        <v>120</v>
      </c>
      <c r="E23" s="6" t="s">
        <v>335</v>
      </c>
      <c r="F23" s="6" t="s">
        <v>336</v>
      </c>
      <c r="G23" s="6"/>
      <c r="H23" s="7" t="s">
        <v>464</v>
      </c>
      <c r="I23" s="7"/>
      <c r="J23" s="7"/>
      <c r="K23" s="7"/>
      <c r="L23" s="6" t="s">
        <v>337</v>
      </c>
      <c r="M23" s="7"/>
      <c r="N23" s="7" t="s">
        <v>338</v>
      </c>
      <c r="O23" s="7"/>
      <c r="P23" s="7" t="s">
        <v>6</v>
      </c>
      <c r="Q23" s="7" t="s">
        <v>59</v>
      </c>
      <c r="R23" s="6" t="s">
        <v>60</v>
      </c>
      <c r="S23" s="7" t="s">
        <v>405</v>
      </c>
    </row>
    <row r="24" spans="1:19" ht="30.1" customHeight="1" x14ac:dyDescent="0.45">
      <c r="A24" s="6" t="s">
        <v>134</v>
      </c>
      <c r="B24" s="7" t="s">
        <v>7</v>
      </c>
      <c r="C24" s="7" t="s">
        <v>135</v>
      </c>
      <c r="D24" s="7" t="s">
        <v>136</v>
      </c>
      <c r="E24" s="6" t="s">
        <v>335</v>
      </c>
      <c r="F24" s="6" t="s">
        <v>336</v>
      </c>
      <c r="G24" s="6"/>
      <c r="H24" s="7" t="s">
        <v>469</v>
      </c>
      <c r="I24" s="7"/>
      <c r="J24" s="7"/>
      <c r="K24" s="7"/>
      <c r="L24" s="6" t="s">
        <v>337</v>
      </c>
      <c r="M24" s="7"/>
      <c r="N24" s="7" t="s">
        <v>338</v>
      </c>
      <c r="O24" s="7"/>
      <c r="P24" s="7" t="s">
        <v>7</v>
      </c>
      <c r="Q24" s="7" t="s">
        <v>137</v>
      </c>
      <c r="R24" s="6" t="s">
        <v>138</v>
      </c>
      <c r="S24" s="7" t="s">
        <v>406</v>
      </c>
    </row>
    <row r="25" spans="1:19" ht="30.1" customHeight="1" x14ac:dyDescent="0.45">
      <c r="A25" s="6" t="s">
        <v>139</v>
      </c>
      <c r="B25" s="7" t="s">
        <v>7</v>
      </c>
      <c r="C25" s="7" t="s">
        <v>140</v>
      </c>
      <c r="D25" s="7" t="s">
        <v>141</v>
      </c>
      <c r="E25" s="6" t="s">
        <v>335</v>
      </c>
      <c r="F25" s="6" t="s">
        <v>336</v>
      </c>
      <c r="G25" s="6"/>
      <c r="H25" s="7" t="s">
        <v>469</v>
      </c>
      <c r="I25" s="7"/>
      <c r="J25" s="7"/>
      <c r="K25" s="7"/>
      <c r="L25" s="6" t="s">
        <v>337</v>
      </c>
      <c r="M25" s="7"/>
      <c r="N25" s="7" t="s">
        <v>338</v>
      </c>
      <c r="O25" s="7"/>
      <c r="P25" s="7" t="s">
        <v>7</v>
      </c>
      <c r="Q25" s="7" t="s">
        <v>137</v>
      </c>
      <c r="R25" s="6" t="s">
        <v>138</v>
      </c>
      <c r="S25" s="7" t="s">
        <v>407</v>
      </c>
    </row>
    <row r="26" spans="1:19" ht="30.1" customHeight="1" x14ac:dyDescent="0.45">
      <c r="A26" s="6" t="s">
        <v>142</v>
      </c>
      <c r="B26" s="7" t="s">
        <v>7</v>
      </c>
      <c r="C26" s="7" t="s">
        <v>143</v>
      </c>
      <c r="D26" s="7" t="s">
        <v>144</v>
      </c>
      <c r="E26" s="6" t="s">
        <v>335</v>
      </c>
      <c r="F26" s="6" t="s">
        <v>336</v>
      </c>
      <c r="G26" s="6"/>
      <c r="H26" s="7" t="s">
        <v>469</v>
      </c>
      <c r="I26" s="7"/>
      <c r="J26" s="7"/>
      <c r="K26" s="7"/>
      <c r="L26" s="6" t="s">
        <v>337</v>
      </c>
      <c r="M26" s="7"/>
      <c r="N26" s="7" t="s">
        <v>338</v>
      </c>
      <c r="O26" s="7"/>
      <c r="P26" s="7" t="s">
        <v>7</v>
      </c>
      <c r="Q26" s="7" t="s">
        <v>137</v>
      </c>
      <c r="R26" s="6" t="s">
        <v>138</v>
      </c>
      <c r="S26" s="7" t="s">
        <v>408</v>
      </c>
    </row>
    <row r="27" spans="1:19" ht="30.1" customHeight="1" x14ac:dyDescent="0.45">
      <c r="A27" s="6" t="s">
        <v>145</v>
      </c>
      <c r="B27" s="7" t="s">
        <v>7</v>
      </c>
      <c r="C27" s="7" t="s">
        <v>146</v>
      </c>
      <c r="D27" s="7" t="s">
        <v>147</v>
      </c>
      <c r="E27" s="6" t="s">
        <v>335</v>
      </c>
      <c r="F27" s="6" t="s">
        <v>336</v>
      </c>
      <c r="G27" s="6"/>
      <c r="H27" s="7" t="s">
        <v>129</v>
      </c>
      <c r="I27" s="7"/>
      <c r="J27" s="7"/>
      <c r="K27" s="7"/>
      <c r="L27" s="6" t="s">
        <v>337</v>
      </c>
      <c r="M27" s="7"/>
      <c r="N27" s="7" t="s">
        <v>338</v>
      </c>
      <c r="O27" s="7"/>
      <c r="P27" s="7" t="s">
        <v>7</v>
      </c>
      <c r="Q27" s="7" t="s">
        <v>148</v>
      </c>
      <c r="R27" s="6" t="s">
        <v>149</v>
      </c>
      <c r="S27" s="7" t="s">
        <v>409</v>
      </c>
    </row>
    <row r="28" spans="1:19" ht="30.1" customHeight="1" x14ac:dyDescent="0.45">
      <c r="A28" s="6" t="s">
        <v>150</v>
      </c>
      <c r="B28" s="7" t="s">
        <v>7</v>
      </c>
      <c r="C28" s="7" t="s">
        <v>151</v>
      </c>
      <c r="D28" s="7" t="s">
        <v>152</v>
      </c>
      <c r="E28" s="6" t="s">
        <v>335</v>
      </c>
      <c r="F28" s="6" t="s">
        <v>336</v>
      </c>
      <c r="G28" s="6"/>
      <c r="H28" s="7" t="s">
        <v>129</v>
      </c>
      <c r="I28" s="7"/>
      <c r="J28" s="7"/>
      <c r="K28" s="7"/>
      <c r="L28" s="6" t="s">
        <v>337</v>
      </c>
      <c r="M28" s="7"/>
      <c r="N28" s="7" t="s">
        <v>338</v>
      </c>
      <c r="O28" s="7"/>
      <c r="P28" s="7" t="s">
        <v>7</v>
      </c>
      <c r="Q28" s="7" t="s">
        <v>148</v>
      </c>
      <c r="R28" s="6" t="s">
        <v>149</v>
      </c>
      <c r="S28" s="7" t="s">
        <v>410</v>
      </c>
    </row>
    <row r="29" spans="1:19" ht="30.1" customHeight="1" x14ac:dyDescent="0.45">
      <c r="A29" s="6" t="s">
        <v>77</v>
      </c>
      <c r="B29" s="7" t="s">
        <v>7</v>
      </c>
      <c r="C29" s="7" t="s">
        <v>78</v>
      </c>
      <c r="D29" s="7" t="s">
        <v>79</v>
      </c>
      <c r="E29" s="6" t="s">
        <v>335</v>
      </c>
      <c r="F29" s="6" t="s">
        <v>336</v>
      </c>
      <c r="G29" s="6"/>
      <c r="H29" s="7" t="s">
        <v>464</v>
      </c>
      <c r="I29" s="7"/>
      <c r="J29" s="7"/>
      <c r="K29" s="7"/>
      <c r="L29" s="6" t="s">
        <v>337</v>
      </c>
      <c r="M29" s="7"/>
      <c r="N29" s="7" t="s">
        <v>338</v>
      </c>
      <c r="O29" s="7"/>
      <c r="P29" s="7" t="s">
        <v>6</v>
      </c>
      <c r="Q29" s="7" t="s">
        <v>80</v>
      </c>
      <c r="R29" s="6" t="s">
        <v>81</v>
      </c>
      <c r="S29" s="7" t="s">
        <v>411</v>
      </c>
    </row>
    <row r="30" spans="1:19" ht="30.1" customHeight="1" x14ac:dyDescent="0.45">
      <c r="A30" s="6" t="s">
        <v>85</v>
      </c>
      <c r="B30" s="7" t="s">
        <v>7</v>
      </c>
      <c r="C30" s="7" t="s">
        <v>86</v>
      </c>
      <c r="D30" s="7" t="s">
        <v>87</v>
      </c>
      <c r="E30" s="6" t="s">
        <v>335</v>
      </c>
      <c r="F30" s="6" t="s">
        <v>336</v>
      </c>
      <c r="G30" s="6"/>
      <c r="H30" s="7" t="s">
        <v>464</v>
      </c>
      <c r="I30" s="7"/>
      <c r="J30" s="7"/>
      <c r="K30" s="7"/>
      <c r="L30" s="6" t="s">
        <v>337</v>
      </c>
      <c r="M30" s="7"/>
      <c r="N30" s="7" t="s">
        <v>338</v>
      </c>
      <c r="O30" s="7"/>
      <c r="P30" s="7" t="s">
        <v>6</v>
      </c>
      <c r="Q30" s="7" t="s">
        <v>80</v>
      </c>
      <c r="R30" s="6" t="s">
        <v>81</v>
      </c>
      <c r="S30" s="7" t="s">
        <v>412</v>
      </c>
    </row>
    <row r="31" spans="1:19" ht="30.1" customHeight="1" x14ac:dyDescent="0.45">
      <c r="A31" s="6" t="s">
        <v>88</v>
      </c>
      <c r="B31" s="7" t="s">
        <v>7</v>
      </c>
      <c r="C31" s="7" t="s">
        <v>89</v>
      </c>
      <c r="D31" s="7" t="s">
        <v>90</v>
      </c>
      <c r="E31" s="6" t="s">
        <v>335</v>
      </c>
      <c r="F31" s="6" t="s">
        <v>336</v>
      </c>
      <c r="G31" s="6"/>
      <c r="H31" s="7" t="s">
        <v>464</v>
      </c>
      <c r="I31" s="7"/>
      <c r="J31" s="7"/>
      <c r="K31" s="7"/>
      <c r="L31" s="6" t="s">
        <v>337</v>
      </c>
      <c r="M31" s="7"/>
      <c r="N31" s="7" t="s">
        <v>338</v>
      </c>
      <c r="O31" s="7"/>
      <c r="P31" s="7" t="s">
        <v>6</v>
      </c>
      <c r="Q31" s="7" t="s">
        <v>80</v>
      </c>
      <c r="R31" s="6" t="s">
        <v>81</v>
      </c>
      <c r="S31" s="7" t="s">
        <v>413</v>
      </c>
    </row>
    <row r="32" spans="1:19" ht="30.1" customHeight="1" x14ac:dyDescent="0.45">
      <c r="A32" s="6" t="s">
        <v>94</v>
      </c>
      <c r="B32" s="7" t="s">
        <v>7</v>
      </c>
      <c r="C32" s="7" t="s">
        <v>95</v>
      </c>
      <c r="D32" s="7" t="s">
        <v>96</v>
      </c>
      <c r="E32" s="6" t="s">
        <v>335</v>
      </c>
      <c r="F32" s="6" t="s">
        <v>336</v>
      </c>
      <c r="G32" s="6"/>
      <c r="H32" s="7" t="s">
        <v>464</v>
      </c>
      <c r="I32" s="7"/>
      <c r="J32" s="7"/>
      <c r="K32" s="7"/>
      <c r="L32" s="6" t="s">
        <v>337</v>
      </c>
      <c r="M32" s="7"/>
      <c r="N32" s="7" t="s">
        <v>338</v>
      </c>
      <c r="O32" s="7"/>
      <c r="P32" s="7" t="s">
        <v>6</v>
      </c>
      <c r="Q32" s="7" t="s">
        <v>80</v>
      </c>
      <c r="R32" s="6" t="s">
        <v>81</v>
      </c>
      <c r="S32" s="7" t="s">
        <v>414</v>
      </c>
    </row>
    <row r="33" spans="1:19" ht="30.1" customHeight="1" x14ac:dyDescent="0.45">
      <c r="A33" s="6" t="s">
        <v>97</v>
      </c>
      <c r="B33" s="7" t="s">
        <v>7</v>
      </c>
      <c r="C33" s="7" t="s">
        <v>98</v>
      </c>
      <c r="D33" s="7" t="s">
        <v>99</v>
      </c>
      <c r="E33" s="6" t="s">
        <v>335</v>
      </c>
      <c r="F33" s="6" t="s">
        <v>336</v>
      </c>
      <c r="G33" s="6"/>
      <c r="H33" s="7" t="s">
        <v>464</v>
      </c>
      <c r="I33" s="7"/>
      <c r="J33" s="7"/>
      <c r="K33" s="7"/>
      <c r="L33" s="6" t="s">
        <v>337</v>
      </c>
      <c r="M33" s="7"/>
      <c r="N33" s="7" t="s">
        <v>338</v>
      </c>
      <c r="O33" s="7"/>
      <c r="P33" s="7" t="s">
        <v>6</v>
      </c>
      <c r="Q33" s="7" t="s">
        <v>80</v>
      </c>
      <c r="R33" s="6" t="s">
        <v>81</v>
      </c>
      <c r="S33" s="7" t="s">
        <v>415</v>
      </c>
    </row>
    <row r="34" spans="1:19" ht="30.1" customHeight="1" x14ac:dyDescent="0.45">
      <c r="A34" s="6" t="s">
        <v>100</v>
      </c>
      <c r="B34" s="7" t="s">
        <v>7</v>
      </c>
      <c r="C34" s="7" t="s">
        <v>101</v>
      </c>
      <c r="D34" s="7" t="s">
        <v>102</v>
      </c>
      <c r="E34" s="6" t="s">
        <v>335</v>
      </c>
      <c r="F34" s="6" t="s">
        <v>336</v>
      </c>
      <c r="G34" s="6"/>
      <c r="H34" s="7" t="s">
        <v>464</v>
      </c>
      <c r="I34" s="7"/>
      <c r="J34" s="7"/>
      <c r="K34" s="7"/>
      <c r="L34" s="6" t="s">
        <v>337</v>
      </c>
      <c r="M34" s="7"/>
      <c r="N34" s="7" t="s">
        <v>338</v>
      </c>
      <c r="O34" s="7"/>
      <c r="P34" s="7" t="s">
        <v>6</v>
      </c>
      <c r="Q34" s="7" t="s">
        <v>80</v>
      </c>
      <c r="R34" s="6" t="s">
        <v>81</v>
      </c>
      <c r="S34" s="7" t="s">
        <v>416</v>
      </c>
    </row>
    <row r="35" spans="1:19" ht="30.1" customHeight="1" x14ac:dyDescent="0.45">
      <c r="A35" s="6" t="s">
        <v>103</v>
      </c>
      <c r="B35" s="7" t="s">
        <v>7</v>
      </c>
      <c r="C35" s="7" t="s">
        <v>104</v>
      </c>
      <c r="D35" s="7" t="s">
        <v>105</v>
      </c>
      <c r="E35" s="6" t="s">
        <v>335</v>
      </c>
      <c r="F35" s="6" t="s">
        <v>336</v>
      </c>
      <c r="G35" s="6"/>
      <c r="H35" s="7" t="s">
        <v>464</v>
      </c>
      <c r="I35" s="7"/>
      <c r="J35" s="7"/>
      <c r="K35" s="7"/>
      <c r="L35" s="6" t="s">
        <v>337</v>
      </c>
      <c r="M35" s="7"/>
      <c r="N35" s="7" t="s">
        <v>338</v>
      </c>
      <c r="O35" s="7"/>
      <c r="P35" s="7" t="s">
        <v>6</v>
      </c>
      <c r="Q35" s="7" t="s">
        <v>80</v>
      </c>
      <c r="R35" s="6" t="s">
        <v>81</v>
      </c>
      <c r="S35" s="7" t="s">
        <v>417</v>
      </c>
    </row>
    <row r="36" spans="1:19" ht="30.1" customHeight="1" x14ac:dyDescent="0.45">
      <c r="A36" s="6" t="s">
        <v>106</v>
      </c>
      <c r="B36" s="7" t="s">
        <v>7</v>
      </c>
      <c r="C36" s="7" t="s">
        <v>107</v>
      </c>
      <c r="D36" s="7" t="s">
        <v>108</v>
      </c>
      <c r="E36" s="6" t="s">
        <v>335</v>
      </c>
      <c r="F36" s="6" t="s">
        <v>336</v>
      </c>
      <c r="G36" s="6"/>
      <c r="H36" s="7" t="s">
        <v>464</v>
      </c>
      <c r="I36" s="7"/>
      <c r="J36" s="7"/>
      <c r="K36" s="7"/>
      <c r="L36" s="6" t="s">
        <v>337</v>
      </c>
      <c r="M36" s="7"/>
      <c r="N36" s="7" t="s">
        <v>338</v>
      </c>
      <c r="O36" s="7"/>
      <c r="P36" s="7" t="s">
        <v>6</v>
      </c>
      <c r="Q36" s="7" t="s">
        <v>80</v>
      </c>
      <c r="R36" s="6" t="s">
        <v>81</v>
      </c>
      <c r="S36" s="7" t="s">
        <v>418</v>
      </c>
    </row>
    <row r="37" spans="1:19" ht="30.1" customHeight="1" x14ac:dyDescent="0.45">
      <c r="A37" s="6" t="s">
        <v>109</v>
      </c>
      <c r="B37" s="7" t="s">
        <v>7</v>
      </c>
      <c r="C37" s="7" t="s">
        <v>110</v>
      </c>
      <c r="D37" s="7" t="s">
        <v>111</v>
      </c>
      <c r="E37" s="6" t="s">
        <v>335</v>
      </c>
      <c r="F37" s="6" t="s">
        <v>336</v>
      </c>
      <c r="G37" s="6"/>
      <c r="H37" s="7" t="s">
        <v>464</v>
      </c>
      <c r="I37" s="7"/>
      <c r="J37" s="7"/>
      <c r="K37" s="7"/>
      <c r="L37" s="6" t="s">
        <v>337</v>
      </c>
      <c r="M37" s="7"/>
      <c r="N37" s="7" t="s">
        <v>338</v>
      </c>
      <c r="O37" s="7"/>
      <c r="P37" s="7" t="s">
        <v>6</v>
      </c>
      <c r="Q37" s="7" t="s">
        <v>80</v>
      </c>
      <c r="R37" s="6" t="s">
        <v>81</v>
      </c>
      <c r="S37" s="7" t="s">
        <v>419</v>
      </c>
    </row>
    <row r="38" spans="1:19" ht="30.1" customHeight="1" x14ac:dyDescent="0.45">
      <c r="A38" s="6" t="s">
        <v>112</v>
      </c>
      <c r="B38" s="7" t="s">
        <v>7</v>
      </c>
      <c r="C38" s="7" t="s">
        <v>113</v>
      </c>
      <c r="D38" s="7" t="s">
        <v>114</v>
      </c>
      <c r="E38" s="6" t="s">
        <v>335</v>
      </c>
      <c r="F38" s="6" t="s">
        <v>336</v>
      </c>
      <c r="G38" s="6"/>
      <c r="H38" s="7" t="s">
        <v>464</v>
      </c>
      <c r="I38" s="7"/>
      <c r="J38" s="7"/>
      <c r="K38" s="7"/>
      <c r="L38" s="6" t="s">
        <v>337</v>
      </c>
      <c r="M38" s="7"/>
      <c r="N38" s="7" t="s">
        <v>338</v>
      </c>
      <c r="O38" s="7"/>
      <c r="P38" s="7" t="s">
        <v>6</v>
      </c>
      <c r="Q38" s="7" t="s">
        <v>80</v>
      </c>
      <c r="R38" s="6" t="s">
        <v>81</v>
      </c>
      <c r="S38" s="7" t="s">
        <v>420</v>
      </c>
    </row>
    <row r="39" spans="1:19" ht="30.1" customHeight="1" x14ac:dyDescent="0.45">
      <c r="A39" s="6" t="s">
        <v>121</v>
      </c>
      <c r="B39" s="7" t="s">
        <v>7</v>
      </c>
      <c r="C39" s="7" t="s">
        <v>122</v>
      </c>
      <c r="D39" s="7" t="s">
        <v>123</v>
      </c>
      <c r="E39" s="6" t="s">
        <v>335</v>
      </c>
      <c r="F39" s="6" t="s">
        <v>336</v>
      </c>
      <c r="G39" s="6"/>
      <c r="H39" s="7" t="s">
        <v>464</v>
      </c>
      <c r="I39" s="7"/>
      <c r="J39" s="7"/>
      <c r="K39" s="7"/>
      <c r="L39" s="6" t="s">
        <v>337</v>
      </c>
      <c r="M39" s="7"/>
      <c r="N39" s="7" t="s">
        <v>338</v>
      </c>
      <c r="O39" s="7"/>
      <c r="P39" s="7" t="s">
        <v>6</v>
      </c>
      <c r="Q39" s="7" t="s">
        <v>124</v>
      </c>
      <c r="R39" s="6" t="s">
        <v>125</v>
      </c>
      <c r="S39" s="7" t="s">
        <v>421</v>
      </c>
    </row>
    <row r="40" spans="1:19" ht="30.1" customHeight="1" x14ac:dyDescent="0.45">
      <c r="A40" s="6" t="s">
        <v>126</v>
      </c>
      <c r="B40" s="7" t="s">
        <v>7</v>
      </c>
      <c r="C40" s="7" t="s">
        <v>127</v>
      </c>
      <c r="D40" s="7" t="s">
        <v>128</v>
      </c>
      <c r="E40" s="6" t="s">
        <v>335</v>
      </c>
      <c r="F40" s="6" t="s">
        <v>336</v>
      </c>
      <c r="G40" s="6"/>
      <c r="H40" s="7" t="s">
        <v>129</v>
      </c>
      <c r="I40" s="7"/>
      <c r="J40" s="7"/>
      <c r="K40" s="7"/>
      <c r="L40" s="6" t="s">
        <v>337</v>
      </c>
      <c r="M40" s="7"/>
      <c r="N40" s="7" t="s">
        <v>338</v>
      </c>
      <c r="O40" s="7"/>
      <c r="P40" s="7" t="s">
        <v>6</v>
      </c>
      <c r="Q40" s="7" t="s">
        <v>124</v>
      </c>
      <c r="R40" s="6" t="s">
        <v>125</v>
      </c>
      <c r="S40" s="7" t="s">
        <v>422</v>
      </c>
    </row>
    <row r="41" spans="1:19" ht="30.1" customHeight="1" x14ac:dyDescent="0.45">
      <c r="A41" s="6" t="s">
        <v>130</v>
      </c>
      <c r="B41" s="7" t="s">
        <v>7</v>
      </c>
      <c r="C41" s="7" t="s">
        <v>131</v>
      </c>
      <c r="D41" s="7" t="s">
        <v>132</v>
      </c>
      <c r="E41" s="6" t="s">
        <v>335</v>
      </c>
      <c r="F41" s="6" t="s">
        <v>336</v>
      </c>
      <c r="G41" s="6"/>
      <c r="H41" s="7" t="s">
        <v>129</v>
      </c>
      <c r="I41" s="7"/>
      <c r="J41" s="7"/>
      <c r="K41" s="7"/>
      <c r="L41" s="6" t="s">
        <v>337</v>
      </c>
      <c r="M41" s="7"/>
      <c r="N41" s="7" t="s">
        <v>338</v>
      </c>
      <c r="O41" s="7"/>
      <c r="P41" s="7" t="s">
        <v>6</v>
      </c>
      <c r="Q41" s="7" t="s">
        <v>124</v>
      </c>
      <c r="R41" s="6" t="s">
        <v>125</v>
      </c>
      <c r="S41" s="7" t="s">
        <v>423</v>
      </c>
    </row>
    <row r="42" spans="1:19" ht="30.1" customHeight="1" x14ac:dyDescent="0.45">
      <c r="A42" s="6" t="s">
        <v>153</v>
      </c>
      <c r="B42" s="7" t="s">
        <v>7</v>
      </c>
      <c r="C42" s="7" t="s">
        <v>154</v>
      </c>
      <c r="D42" s="7" t="s">
        <v>155</v>
      </c>
      <c r="E42" s="6" t="s">
        <v>335</v>
      </c>
      <c r="F42" s="6" t="s">
        <v>336</v>
      </c>
      <c r="G42" s="6"/>
      <c r="H42" s="7" t="s">
        <v>129</v>
      </c>
      <c r="I42" s="7"/>
      <c r="J42" s="7"/>
      <c r="K42" s="7"/>
      <c r="L42" s="6" t="s">
        <v>337</v>
      </c>
      <c r="M42" s="7"/>
      <c r="N42" s="7" t="s">
        <v>338</v>
      </c>
      <c r="O42" s="7"/>
      <c r="P42" s="7" t="s">
        <v>7</v>
      </c>
      <c r="Q42" s="7" t="s">
        <v>148</v>
      </c>
      <c r="R42" s="6" t="s">
        <v>149</v>
      </c>
      <c r="S42" s="7" t="s">
        <v>424</v>
      </c>
    </row>
    <row r="43" spans="1:19" ht="30.1" customHeight="1" x14ac:dyDescent="0.45">
      <c r="A43" s="6" t="s">
        <v>157</v>
      </c>
      <c r="B43" s="7" t="s">
        <v>9</v>
      </c>
      <c r="C43" s="7" t="s">
        <v>158</v>
      </c>
      <c r="D43" s="7" t="s">
        <v>159</v>
      </c>
      <c r="E43" s="6" t="s">
        <v>335</v>
      </c>
      <c r="F43" s="6" t="s">
        <v>336</v>
      </c>
      <c r="G43" s="6"/>
      <c r="H43" s="7" t="s">
        <v>129</v>
      </c>
      <c r="I43" s="7"/>
      <c r="J43" s="7"/>
      <c r="K43" s="7"/>
      <c r="L43" s="6" t="s">
        <v>337</v>
      </c>
      <c r="M43" s="7"/>
      <c r="N43" s="7" t="s">
        <v>338</v>
      </c>
      <c r="O43" s="7"/>
      <c r="P43" s="7" t="s">
        <v>9</v>
      </c>
      <c r="Q43" s="7" t="s">
        <v>160</v>
      </c>
      <c r="R43" s="6" t="s">
        <v>161</v>
      </c>
      <c r="S43" s="7" t="s">
        <v>425</v>
      </c>
    </row>
    <row r="44" spans="1:19" ht="30.1" customHeight="1" x14ac:dyDescent="0.45">
      <c r="A44" s="6" t="s">
        <v>162</v>
      </c>
      <c r="B44" s="7" t="s">
        <v>9</v>
      </c>
      <c r="C44" s="7" t="s">
        <v>163</v>
      </c>
      <c r="D44" s="7" t="s">
        <v>164</v>
      </c>
      <c r="E44" s="6" t="s">
        <v>335</v>
      </c>
      <c r="F44" s="6" t="s">
        <v>336</v>
      </c>
      <c r="G44" s="6"/>
      <c r="H44" s="7" t="s">
        <v>129</v>
      </c>
      <c r="I44" s="7"/>
      <c r="J44" s="7"/>
      <c r="K44" s="7"/>
      <c r="L44" s="6" t="s">
        <v>337</v>
      </c>
      <c r="M44" s="7"/>
      <c r="N44" s="7" t="s">
        <v>338</v>
      </c>
      <c r="O44" s="7"/>
      <c r="P44" s="7" t="s">
        <v>9</v>
      </c>
      <c r="Q44" s="7" t="s">
        <v>160</v>
      </c>
      <c r="R44" s="6" t="s">
        <v>161</v>
      </c>
      <c r="S44" s="7" t="s">
        <v>426</v>
      </c>
    </row>
    <row r="45" spans="1:19" ht="30.1" customHeight="1" x14ac:dyDescent="0.45">
      <c r="A45" s="6" t="s">
        <v>165</v>
      </c>
      <c r="B45" s="7" t="s">
        <v>9</v>
      </c>
      <c r="C45" s="7" t="s">
        <v>166</v>
      </c>
      <c r="D45" s="7" t="s">
        <v>167</v>
      </c>
      <c r="E45" s="6" t="s">
        <v>335</v>
      </c>
      <c r="F45" s="6" t="s">
        <v>336</v>
      </c>
      <c r="G45" s="6"/>
      <c r="H45" s="7" t="s">
        <v>168</v>
      </c>
      <c r="I45" s="7"/>
      <c r="J45" s="7"/>
      <c r="K45" s="7"/>
      <c r="L45" s="6" t="s">
        <v>337</v>
      </c>
      <c r="M45" s="7"/>
      <c r="N45" s="7" t="s">
        <v>338</v>
      </c>
      <c r="O45" s="7"/>
      <c r="P45" s="7" t="s">
        <v>9</v>
      </c>
      <c r="Q45" s="7" t="s">
        <v>160</v>
      </c>
      <c r="R45" s="6" t="s">
        <v>161</v>
      </c>
      <c r="S45" s="7" t="s">
        <v>427</v>
      </c>
    </row>
    <row r="46" spans="1:19" ht="30.1" customHeight="1" x14ac:dyDescent="0.45">
      <c r="A46" s="6" t="s">
        <v>169</v>
      </c>
      <c r="B46" s="7" t="s">
        <v>9</v>
      </c>
      <c r="C46" s="7" t="s">
        <v>170</v>
      </c>
      <c r="D46" s="7" t="s">
        <v>171</v>
      </c>
      <c r="E46" s="6" t="s">
        <v>335</v>
      </c>
      <c r="F46" s="6" t="s">
        <v>336</v>
      </c>
      <c r="G46" s="6"/>
      <c r="H46" s="7" t="s">
        <v>172</v>
      </c>
      <c r="I46" s="7"/>
      <c r="J46" s="7"/>
      <c r="K46" s="7"/>
      <c r="L46" s="6" t="s">
        <v>337</v>
      </c>
      <c r="M46" s="7"/>
      <c r="N46" s="7" t="s">
        <v>338</v>
      </c>
      <c r="O46" s="7"/>
      <c r="P46" s="7" t="s">
        <v>9</v>
      </c>
      <c r="Q46" s="7" t="s">
        <v>160</v>
      </c>
      <c r="R46" s="6" t="s">
        <v>161</v>
      </c>
      <c r="S46" s="7" t="s">
        <v>428</v>
      </c>
    </row>
    <row r="47" spans="1:19" ht="30.1" customHeight="1" x14ac:dyDescent="0.45">
      <c r="A47" s="6" t="s">
        <v>173</v>
      </c>
      <c r="B47" s="7" t="s">
        <v>9</v>
      </c>
      <c r="C47" s="7" t="s">
        <v>174</v>
      </c>
      <c r="D47" s="7" t="s">
        <v>175</v>
      </c>
      <c r="E47" s="6" t="s">
        <v>335</v>
      </c>
      <c r="F47" s="6" t="s">
        <v>336</v>
      </c>
      <c r="G47" s="6"/>
      <c r="H47" s="7" t="s">
        <v>176</v>
      </c>
      <c r="I47" s="7"/>
      <c r="J47" s="7"/>
      <c r="K47" s="7"/>
      <c r="L47" s="6" t="s">
        <v>337</v>
      </c>
      <c r="M47" s="7"/>
      <c r="N47" s="7" t="s">
        <v>338</v>
      </c>
      <c r="O47" s="7"/>
      <c r="P47" s="7" t="s">
        <v>9</v>
      </c>
      <c r="Q47" s="7" t="s">
        <v>160</v>
      </c>
      <c r="R47" s="6" t="s">
        <v>161</v>
      </c>
      <c r="S47" s="7" t="s">
        <v>429</v>
      </c>
    </row>
    <row r="48" spans="1:19" ht="30.1" customHeight="1" x14ac:dyDescent="0.45">
      <c r="A48" s="6" t="s">
        <v>177</v>
      </c>
      <c r="B48" s="7" t="s">
        <v>9</v>
      </c>
      <c r="C48" s="7" t="s">
        <v>178</v>
      </c>
      <c r="D48" s="7" t="s">
        <v>179</v>
      </c>
      <c r="E48" s="6" t="s">
        <v>335</v>
      </c>
      <c r="F48" s="6" t="s">
        <v>336</v>
      </c>
      <c r="G48" s="6"/>
      <c r="H48" s="7" t="s">
        <v>470</v>
      </c>
      <c r="I48" s="7"/>
      <c r="J48" s="7"/>
      <c r="K48" s="7"/>
      <c r="L48" s="6" t="s">
        <v>337</v>
      </c>
      <c r="M48" s="7"/>
      <c r="N48" s="7" t="s">
        <v>338</v>
      </c>
      <c r="O48" s="7"/>
      <c r="P48" s="7" t="s">
        <v>9</v>
      </c>
      <c r="Q48" s="7" t="s">
        <v>180</v>
      </c>
      <c r="R48" s="6" t="s">
        <v>181</v>
      </c>
      <c r="S48" s="7" t="s">
        <v>430</v>
      </c>
    </row>
    <row r="49" spans="1:19" ht="30.1" customHeight="1" x14ac:dyDescent="0.45">
      <c r="A49" s="6" t="s">
        <v>182</v>
      </c>
      <c r="B49" s="7" t="s">
        <v>9</v>
      </c>
      <c r="C49" s="7" t="s">
        <v>183</v>
      </c>
      <c r="D49" s="7" t="s">
        <v>184</v>
      </c>
      <c r="E49" s="6" t="s">
        <v>335</v>
      </c>
      <c r="F49" s="6" t="s">
        <v>336</v>
      </c>
      <c r="G49" s="6"/>
      <c r="H49" s="7" t="s">
        <v>464</v>
      </c>
      <c r="I49" s="7"/>
      <c r="J49" s="7"/>
      <c r="K49" s="7"/>
      <c r="L49" s="6" t="s">
        <v>337</v>
      </c>
      <c r="M49" s="7"/>
      <c r="N49" s="7" t="s">
        <v>338</v>
      </c>
      <c r="O49" s="7"/>
      <c r="P49" s="7" t="s">
        <v>9</v>
      </c>
      <c r="Q49" s="7" t="s">
        <v>185</v>
      </c>
      <c r="R49" s="6" t="s">
        <v>186</v>
      </c>
      <c r="S49" s="7" t="s">
        <v>431</v>
      </c>
    </row>
    <row r="50" spans="1:19" ht="30.1" customHeight="1" x14ac:dyDescent="0.45">
      <c r="A50" s="6" t="s">
        <v>187</v>
      </c>
      <c r="B50" s="7" t="s">
        <v>9</v>
      </c>
      <c r="C50" s="7" t="s">
        <v>188</v>
      </c>
      <c r="D50" s="7" t="s">
        <v>189</v>
      </c>
      <c r="E50" s="6" t="s">
        <v>335</v>
      </c>
      <c r="F50" s="6" t="s">
        <v>336</v>
      </c>
      <c r="G50" s="6"/>
      <c r="H50" s="7" t="s">
        <v>464</v>
      </c>
      <c r="I50" s="7"/>
      <c r="J50" s="7"/>
      <c r="K50" s="7"/>
      <c r="L50" s="6" t="s">
        <v>337</v>
      </c>
      <c r="M50" s="7"/>
      <c r="N50" s="7" t="s">
        <v>338</v>
      </c>
      <c r="O50" s="7"/>
      <c r="P50" s="7" t="s">
        <v>9</v>
      </c>
      <c r="Q50" s="7" t="s">
        <v>160</v>
      </c>
      <c r="R50" s="6" t="s">
        <v>161</v>
      </c>
      <c r="S50" s="7" t="s">
        <v>432</v>
      </c>
    </row>
    <row r="51" spans="1:19" ht="30.1" customHeight="1" x14ac:dyDescent="0.45">
      <c r="A51" s="6" t="s">
        <v>190</v>
      </c>
      <c r="B51" s="7" t="s">
        <v>9</v>
      </c>
      <c r="C51" s="7" t="s">
        <v>191</v>
      </c>
      <c r="D51" s="7" t="s">
        <v>192</v>
      </c>
      <c r="E51" s="6" t="s">
        <v>335</v>
      </c>
      <c r="F51" s="6" t="s">
        <v>336</v>
      </c>
      <c r="G51" s="6"/>
      <c r="H51" s="7" t="s">
        <v>470</v>
      </c>
      <c r="I51" s="7"/>
      <c r="J51" s="7"/>
      <c r="K51" s="7"/>
      <c r="L51" s="6" t="s">
        <v>337</v>
      </c>
      <c r="M51" s="7"/>
      <c r="N51" s="7" t="s">
        <v>338</v>
      </c>
      <c r="O51" s="7"/>
      <c r="P51" s="7" t="s">
        <v>9</v>
      </c>
      <c r="Q51" s="7" t="s">
        <v>160</v>
      </c>
      <c r="R51" s="6" t="s">
        <v>161</v>
      </c>
      <c r="S51" s="7" t="s">
        <v>433</v>
      </c>
    </row>
    <row r="52" spans="1:19" ht="30.1" customHeight="1" x14ac:dyDescent="0.45">
      <c r="A52" s="6" t="s">
        <v>193</v>
      </c>
      <c r="B52" s="7" t="s">
        <v>9</v>
      </c>
      <c r="C52" s="7" t="s">
        <v>194</v>
      </c>
      <c r="D52" s="7" t="s">
        <v>195</v>
      </c>
      <c r="E52" s="6" t="s">
        <v>335</v>
      </c>
      <c r="F52" s="6" t="s">
        <v>336</v>
      </c>
      <c r="G52" s="6"/>
      <c r="H52" s="7" t="s">
        <v>129</v>
      </c>
      <c r="I52" s="7"/>
      <c r="J52" s="7"/>
      <c r="K52" s="7"/>
      <c r="L52" s="6" t="s">
        <v>337</v>
      </c>
      <c r="M52" s="7"/>
      <c r="N52" s="7" t="s">
        <v>338</v>
      </c>
      <c r="O52" s="7"/>
      <c r="P52" s="7" t="s">
        <v>9</v>
      </c>
      <c r="Q52" s="7" t="s">
        <v>160</v>
      </c>
      <c r="R52" s="6" t="s">
        <v>161</v>
      </c>
      <c r="S52" s="7" t="s">
        <v>434</v>
      </c>
    </row>
    <row r="53" spans="1:19" ht="30.1" customHeight="1" x14ac:dyDescent="0.45">
      <c r="A53" s="6" t="s">
        <v>196</v>
      </c>
      <c r="B53" s="7" t="s">
        <v>9</v>
      </c>
      <c r="C53" s="7" t="s">
        <v>197</v>
      </c>
      <c r="D53" s="7" t="s">
        <v>198</v>
      </c>
      <c r="E53" s="6" t="s">
        <v>335</v>
      </c>
      <c r="F53" s="6" t="s">
        <v>336</v>
      </c>
      <c r="G53" s="6"/>
      <c r="H53" s="7" t="s">
        <v>464</v>
      </c>
      <c r="I53" s="7"/>
      <c r="J53" s="7"/>
      <c r="K53" s="7"/>
      <c r="L53" s="6" t="s">
        <v>337</v>
      </c>
      <c r="M53" s="7"/>
      <c r="N53" s="7" t="s">
        <v>338</v>
      </c>
      <c r="O53" s="7"/>
      <c r="P53" s="7" t="s">
        <v>9</v>
      </c>
      <c r="Q53" s="7" t="s">
        <v>185</v>
      </c>
      <c r="R53" s="6" t="s">
        <v>186</v>
      </c>
      <c r="S53" s="7" t="s">
        <v>435</v>
      </c>
    </row>
    <row r="54" spans="1:19" ht="30.1" customHeight="1" x14ac:dyDescent="0.45">
      <c r="A54" s="6" t="s">
        <v>199</v>
      </c>
      <c r="B54" s="7" t="s">
        <v>9</v>
      </c>
      <c r="C54" s="7" t="s">
        <v>200</v>
      </c>
      <c r="D54" s="7" t="s">
        <v>471</v>
      </c>
      <c r="E54" s="6" t="s">
        <v>335</v>
      </c>
      <c r="F54" s="6" t="s">
        <v>336</v>
      </c>
      <c r="G54" s="6"/>
      <c r="H54" s="7" t="s">
        <v>464</v>
      </c>
      <c r="I54" s="7"/>
      <c r="J54" s="7"/>
      <c r="K54" s="7"/>
      <c r="L54" s="6" t="s">
        <v>337</v>
      </c>
      <c r="M54" s="7"/>
      <c r="N54" s="7" t="s">
        <v>338</v>
      </c>
      <c r="O54" s="7"/>
      <c r="P54" s="7" t="s">
        <v>9</v>
      </c>
      <c r="Q54" s="7" t="s">
        <v>201</v>
      </c>
      <c r="R54" s="6" t="s">
        <v>202</v>
      </c>
      <c r="S54" s="7" t="s">
        <v>436</v>
      </c>
    </row>
    <row r="55" spans="1:19" ht="30.1" customHeight="1" x14ac:dyDescent="0.45">
      <c r="A55" s="6" t="s">
        <v>203</v>
      </c>
      <c r="B55" s="7" t="s">
        <v>9</v>
      </c>
      <c r="C55" s="7" t="s">
        <v>204</v>
      </c>
      <c r="D55" s="7" t="s">
        <v>205</v>
      </c>
      <c r="E55" s="6" t="s">
        <v>335</v>
      </c>
      <c r="F55" s="6" t="s">
        <v>336</v>
      </c>
      <c r="G55" s="6"/>
      <c r="H55" s="7" t="s">
        <v>129</v>
      </c>
      <c r="I55" s="7"/>
      <c r="J55" s="7"/>
      <c r="K55" s="7"/>
      <c r="L55" s="6" t="s">
        <v>337</v>
      </c>
      <c r="M55" s="7"/>
      <c r="N55" s="7" t="s">
        <v>338</v>
      </c>
      <c r="O55" s="7"/>
      <c r="P55" s="7" t="s">
        <v>9</v>
      </c>
      <c r="Q55" s="7" t="s">
        <v>201</v>
      </c>
      <c r="R55" s="6" t="s">
        <v>202</v>
      </c>
      <c r="S55" s="7" t="s">
        <v>437</v>
      </c>
    </row>
    <row r="56" spans="1:19" ht="30.1" customHeight="1" x14ac:dyDescent="0.45">
      <c r="A56" s="6" t="s">
        <v>206</v>
      </c>
      <c r="B56" s="7" t="s">
        <v>9</v>
      </c>
      <c r="C56" s="7" t="s">
        <v>207</v>
      </c>
      <c r="D56" s="7" t="s">
        <v>208</v>
      </c>
      <c r="E56" s="6" t="s">
        <v>335</v>
      </c>
      <c r="F56" s="6" t="s">
        <v>336</v>
      </c>
      <c r="G56" s="6"/>
      <c r="H56" s="7" t="s">
        <v>472</v>
      </c>
      <c r="I56" s="7"/>
      <c r="J56" s="7"/>
      <c r="K56" s="7"/>
      <c r="L56" s="6" t="s">
        <v>337</v>
      </c>
      <c r="M56" s="7"/>
      <c r="N56" s="7" t="s">
        <v>338</v>
      </c>
      <c r="O56" s="7"/>
      <c r="P56" s="7" t="s">
        <v>9</v>
      </c>
      <c r="Q56" s="7" t="s">
        <v>201</v>
      </c>
      <c r="R56" s="6" t="s">
        <v>202</v>
      </c>
      <c r="S56" s="7" t="s">
        <v>438</v>
      </c>
    </row>
    <row r="57" spans="1:19" ht="30.1" customHeight="1" x14ac:dyDescent="0.45">
      <c r="A57" s="6" t="s">
        <v>209</v>
      </c>
      <c r="B57" s="7" t="s">
        <v>9</v>
      </c>
      <c r="C57" s="7" t="s">
        <v>210</v>
      </c>
      <c r="D57" s="7" t="s">
        <v>211</v>
      </c>
      <c r="E57" s="6" t="s">
        <v>335</v>
      </c>
      <c r="F57" s="6" t="s">
        <v>336</v>
      </c>
      <c r="G57" s="6"/>
      <c r="H57" s="7" t="s">
        <v>129</v>
      </c>
      <c r="I57" s="7"/>
      <c r="J57" s="7"/>
      <c r="K57" s="7"/>
      <c r="L57" s="6" t="s">
        <v>337</v>
      </c>
      <c r="M57" s="7"/>
      <c r="N57" s="7" t="s">
        <v>338</v>
      </c>
      <c r="O57" s="7"/>
      <c r="P57" s="7" t="s">
        <v>9</v>
      </c>
      <c r="Q57" s="7" t="s">
        <v>201</v>
      </c>
      <c r="R57" s="6" t="s">
        <v>202</v>
      </c>
      <c r="S57" s="7" t="s">
        <v>439</v>
      </c>
    </row>
    <row r="58" spans="1:19" ht="30.1" customHeight="1" x14ac:dyDescent="0.45">
      <c r="A58" s="6" t="s">
        <v>212</v>
      </c>
      <c r="B58" s="7" t="s">
        <v>9</v>
      </c>
      <c r="C58" s="7" t="s">
        <v>213</v>
      </c>
      <c r="D58" s="7" t="s">
        <v>214</v>
      </c>
      <c r="E58" s="6" t="s">
        <v>335</v>
      </c>
      <c r="F58" s="6" t="s">
        <v>336</v>
      </c>
      <c r="G58" s="6"/>
      <c r="H58" s="7" t="s">
        <v>129</v>
      </c>
      <c r="I58" s="7"/>
      <c r="J58" s="7"/>
      <c r="K58" s="7"/>
      <c r="L58" s="6" t="s">
        <v>337</v>
      </c>
      <c r="M58" s="7"/>
      <c r="N58" s="7" t="s">
        <v>338</v>
      </c>
      <c r="O58" s="7"/>
      <c r="P58" s="7" t="s">
        <v>9</v>
      </c>
      <c r="Q58" s="7" t="s">
        <v>201</v>
      </c>
      <c r="R58" s="6" t="s">
        <v>202</v>
      </c>
      <c r="S58" s="7" t="s">
        <v>440</v>
      </c>
    </row>
    <row r="59" spans="1:19" ht="30.1" customHeight="1" x14ac:dyDescent="0.45">
      <c r="A59" s="6" t="s">
        <v>215</v>
      </c>
      <c r="B59" s="7" t="s">
        <v>9</v>
      </c>
      <c r="C59" s="7" t="s">
        <v>216</v>
      </c>
      <c r="D59" s="7" t="s">
        <v>217</v>
      </c>
      <c r="E59" s="6" t="s">
        <v>335</v>
      </c>
      <c r="F59" s="6" t="s">
        <v>336</v>
      </c>
      <c r="G59" s="6"/>
      <c r="H59" s="7" t="s">
        <v>218</v>
      </c>
      <c r="I59" s="7"/>
      <c r="J59" s="7"/>
      <c r="K59" s="7"/>
      <c r="L59" s="6" t="s">
        <v>337</v>
      </c>
      <c r="M59" s="7"/>
      <c r="N59" s="7" t="s">
        <v>338</v>
      </c>
      <c r="O59" s="7"/>
      <c r="P59" s="7" t="s">
        <v>9</v>
      </c>
      <c r="Q59" s="7" t="s">
        <v>219</v>
      </c>
      <c r="R59" s="6" t="s">
        <v>220</v>
      </c>
      <c r="S59" s="7" t="s">
        <v>441</v>
      </c>
    </row>
    <row r="60" spans="1:19" ht="30.1" customHeight="1" x14ac:dyDescent="0.45">
      <c r="A60" s="6" t="s">
        <v>221</v>
      </c>
      <c r="B60" s="7" t="s">
        <v>9</v>
      </c>
      <c r="C60" s="7" t="s">
        <v>222</v>
      </c>
      <c r="D60" s="7" t="s">
        <v>223</v>
      </c>
      <c r="E60" s="6" t="s">
        <v>335</v>
      </c>
      <c r="F60" s="6" t="s">
        <v>336</v>
      </c>
      <c r="G60" s="6"/>
      <c r="H60" s="7" t="s">
        <v>168</v>
      </c>
      <c r="I60" s="7"/>
      <c r="J60" s="7"/>
      <c r="K60" s="7"/>
      <c r="L60" s="6" t="s">
        <v>337</v>
      </c>
      <c r="M60" s="7"/>
      <c r="N60" s="7" t="s">
        <v>338</v>
      </c>
      <c r="O60" s="7"/>
      <c r="P60" s="7" t="s">
        <v>9</v>
      </c>
      <c r="Q60" s="7" t="s">
        <v>219</v>
      </c>
      <c r="R60" s="6" t="s">
        <v>220</v>
      </c>
      <c r="S60" s="7" t="s">
        <v>442</v>
      </c>
    </row>
    <row r="61" spans="1:19" ht="30.1" customHeight="1" x14ac:dyDescent="0.45">
      <c r="A61" s="6" t="s">
        <v>224</v>
      </c>
      <c r="B61" s="7" t="s">
        <v>9</v>
      </c>
      <c r="C61" s="7" t="s">
        <v>225</v>
      </c>
      <c r="D61" s="7" t="s">
        <v>226</v>
      </c>
      <c r="E61" s="6" t="s">
        <v>335</v>
      </c>
      <c r="F61" s="6" t="s">
        <v>336</v>
      </c>
      <c r="G61" s="6"/>
      <c r="H61" s="7" t="s">
        <v>227</v>
      </c>
      <c r="I61" s="7"/>
      <c r="J61" s="7"/>
      <c r="K61" s="7"/>
      <c r="L61" s="6" t="s">
        <v>337</v>
      </c>
      <c r="M61" s="7"/>
      <c r="N61" s="7" t="s">
        <v>338</v>
      </c>
      <c r="O61" s="7"/>
      <c r="P61" s="7" t="s">
        <v>9</v>
      </c>
      <c r="Q61" s="7" t="s">
        <v>219</v>
      </c>
      <c r="R61" s="6" t="s">
        <v>220</v>
      </c>
      <c r="S61" s="7" t="s">
        <v>443</v>
      </c>
    </row>
    <row r="62" spans="1:19" ht="30.1" customHeight="1" x14ac:dyDescent="0.45">
      <c r="A62" s="6" t="s">
        <v>228</v>
      </c>
      <c r="B62" s="7" t="s">
        <v>9</v>
      </c>
      <c r="C62" s="7" t="s">
        <v>229</v>
      </c>
      <c r="D62" s="7" t="s">
        <v>230</v>
      </c>
      <c r="E62" s="6" t="s">
        <v>335</v>
      </c>
      <c r="F62" s="6" t="s">
        <v>336</v>
      </c>
      <c r="G62" s="6"/>
      <c r="H62" s="7" t="s">
        <v>176</v>
      </c>
      <c r="I62" s="7"/>
      <c r="J62" s="7"/>
      <c r="K62" s="7"/>
      <c r="L62" s="6" t="s">
        <v>337</v>
      </c>
      <c r="M62" s="7"/>
      <c r="N62" s="7" t="s">
        <v>338</v>
      </c>
      <c r="O62" s="7"/>
      <c r="P62" s="7" t="s">
        <v>9</v>
      </c>
      <c r="Q62" s="7" t="s">
        <v>219</v>
      </c>
      <c r="R62" s="6" t="s">
        <v>220</v>
      </c>
      <c r="S62" s="7" t="s">
        <v>444</v>
      </c>
    </row>
    <row r="63" spans="1:19" ht="30.1" customHeight="1" x14ac:dyDescent="0.45">
      <c r="A63" s="6" t="s">
        <v>231</v>
      </c>
      <c r="B63" s="7" t="s">
        <v>9</v>
      </c>
      <c r="C63" s="7" t="s">
        <v>232</v>
      </c>
      <c r="D63" s="7" t="s">
        <v>233</v>
      </c>
      <c r="E63" s="6" t="s">
        <v>335</v>
      </c>
      <c r="F63" s="6" t="s">
        <v>336</v>
      </c>
      <c r="G63" s="6"/>
      <c r="H63" s="7" t="s">
        <v>234</v>
      </c>
      <c r="I63" s="7"/>
      <c r="J63" s="7"/>
      <c r="K63" s="7"/>
      <c r="L63" s="6" t="s">
        <v>337</v>
      </c>
      <c r="M63" s="7"/>
      <c r="N63" s="7" t="s">
        <v>338</v>
      </c>
      <c r="O63" s="7"/>
      <c r="P63" s="7" t="s">
        <v>9</v>
      </c>
      <c r="Q63" s="7" t="s">
        <v>219</v>
      </c>
      <c r="R63" s="6" t="s">
        <v>220</v>
      </c>
      <c r="S63" s="7" t="s">
        <v>445</v>
      </c>
    </row>
    <row r="64" spans="1:19" ht="30.1" customHeight="1" x14ac:dyDescent="0.45">
      <c r="A64" s="6" t="s">
        <v>235</v>
      </c>
      <c r="B64" s="7" t="s">
        <v>9</v>
      </c>
      <c r="C64" s="7" t="s">
        <v>236</v>
      </c>
      <c r="D64" s="7" t="s">
        <v>237</v>
      </c>
      <c r="E64" s="6" t="s">
        <v>335</v>
      </c>
      <c r="F64" s="6" t="s">
        <v>336</v>
      </c>
      <c r="G64" s="6"/>
      <c r="H64" s="7" t="s">
        <v>238</v>
      </c>
      <c r="I64" s="7"/>
      <c r="J64" s="7"/>
      <c r="K64" s="7"/>
      <c r="L64" s="6" t="s">
        <v>337</v>
      </c>
      <c r="M64" s="7"/>
      <c r="N64" s="7" t="s">
        <v>338</v>
      </c>
      <c r="O64" s="7"/>
      <c r="P64" s="7" t="s">
        <v>9</v>
      </c>
      <c r="Q64" s="7" t="s">
        <v>219</v>
      </c>
      <c r="R64" s="6" t="s">
        <v>220</v>
      </c>
      <c r="S64" s="7" t="s">
        <v>446</v>
      </c>
    </row>
    <row r="65" spans="1:19" ht="30.1" customHeight="1" x14ac:dyDescent="0.45">
      <c r="A65" s="6" t="s">
        <v>239</v>
      </c>
      <c r="B65" s="7" t="s">
        <v>9</v>
      </c>
      <c r="C65" s="7" t="s">
        <v>240</v>
      </c>
      <c r="D65" s="7" t="s">
        <v>241</v>
      </c>
      <c r="E65" s="6" t="s">
        <v>335</v>
      </c>
      <c r="F65" s="6" t="s">
        <v>336</v>
      </c>
      <c r="G65" s="6"/>
      <c r="H65" s="7" t="s">
        <v>470</v>
      </c>
      <c r="I65" s="7"/>
      <c r="J65" s="7"/>
      <c r="K65" s="7"/>
      <c r="L65" s="6" t="s">
        <v>337</v>
      </c>
      <c r="M65" s="7"/>
      <c r="N65" s="7" t="s">
        <v>338</v>
      </c>
      <c r="O65" s="7"/>
      <c r="P65" s="7" t="s">
        <v>9</v>
      </c>
      <c r="Q65" s="7" t="s">
        <v>219</v>
      </c>
      <c r="R65" s="6" t="s">
        <v>220</v>
      </c>
      <c r="S65" s="7" t="s">
        <v>447</v>
      </c>
    </row>
    <row r="66" spans="1:19" ht="30.1" customHeight="1" x14ac:dyDescent="0.45">
      <c r="A66" s="6" t="s">
        <v>242</v>
      </c>
      <c r="B66" s="7" t="s">
        <v>9</v>
      </c>
      <c r="C66" s="7" t="s">
        <v>243</v>
      </c>
      <c r="D66" s="7" t="s">
        <v>244</v>
      </c>
      <c r="E66" s="6" t="s">
        <v>335</v>
      </c>
      <c r="F66" s="6" t="s">
        <v>336</v>
      </c>
      <c r="G66" s="6"/>
      <c r="H66" s="7" t="s">
        <v>473</v>
      </c>
      <c r="I66" s="7"/>
      <c r="J66" s="7"/>
      <c r="K66" s="7"/>
      <c r="L66" s="6" t="s">
        <v>337</v>
      </c>
      <c r="M66" s="7"/>
      <c r="N66" s="7" t="s">
        <v>338</v>
      </c>
      <c r="O66" s="7"/>
      <c r="P66" s="7" t="s">
        <v>9</v>
      </c>
      <c r="Q66" s="7" t="s">
        <v>180</v>
      </c>
      <c r="R66" s="6" t="s">
        <v>181</v>
      </c>
      <c r="S66" s="7" t="s">
        <v>448</v>
      </c>
    </row>
    <row r="67" spans="1:19" ht="30.1" customHeight="1" x14ac:dyDescent="0.45">
      <c r="A67" s="6" t="s">
        <v>245</v>
      </c>
      <c r="B67" s="7" t="s">
        <v>9</v>
      </c>
      <c r="C67" s="7" t="s">
        <v>246</v>
      </c>
      <c r="D67" s="7" t="s">
        <v>247</v>
      </c>
      <c r="E67" s="6" t="s">
        <v>335</v>
      </c>
      <c r="F67" s="6" t="s">
        <v>336</v>
      </c>
      <c r="G67" s="6"/>
      <c r="H67" s="7" t="s">
        <v>470</v>
      </c>
      <c r="I67" s="7"/>
      <c r="J67" s="7"/>
      <c r="K67" s="7"/>
      <c r="L67" s="6" t="s">
        <v>337</v>
      </c>
      <c r="M67" s="7"/>
      <c r="N67" s="7" t="s">
        <v>338</v>
      </c>
      <c r="O67" s="7"/>
      <c r="P67" s="7" t="s">
        <v>9</v>
      </c>
      <c r="Q67" s="7" t="s">
        <v>180</v>
      </c>
      <c r="R67" s="6" t="s">
        <v>181</v>
      </c>
      <c r="S67" s="7" t="s">
        <v>449</v>
      </c>
    </row>
    <row r="68" spans="1:19" ht="30.1" customHeight="1" x14ac:dyDescent="0.45">
      <c r="A68" s="6" t="s">
        <v>248</v>
      </c>
      <c r="B68" s="7" t="s">
        <v>9</v>
      </c>
      <c r="C68" s="7" t="s">
        <v>249</v>
      </c>
      <c r="D68" s="7" t="s">
        <v>250</v>
      </c>
      <c r="E68" s="6" t="s">
        <v>335</v>
      </c>
      <c r="F68" s="6" t="s">
        <v>336</v>
      </c>
      <c r="G68" s="6"/>
      <c r="H68" s="7" t="s">
        <v>129</v>
      </c>
      <c r="I68" s="7"/>
      <c r="J68" s="7"/>
      <c r="K68" s="7"/>
      <c r="L68" s="6" t="s">
        <v>337</v>
      </c>
      <c r="M68" s="7"/>
      <c r="N68" s="7" t="s">
        <v>338</v>
      </c>
      <c r="O68" s="7"/>
      <c r="P68" s="7" t="s">
        <v>9</v>
      </c>
      <c r="Q68" s="7" t="s">
        <v>251</v>
      </c>
      <c r="R68" s="6" t="s">
        <v>252</v>
      </c>
      <c r="S68" s="7" t="s">
        <v>450</v>
      </c>
    </row>
    <row r="69" spans="1:19" ht="30.1" customHeight="1" x14ac:dyDescent="0.45">
      <c r="A69" s="6" t="s">
        <v>253</v>
      </c>
      <c r="B69" s="7" t="s">
        <v>9</v>
      </c>
      <c r="C69" s="7" t="s">
        <v>254</v>
      </c>
      <c r="D69" s="7" t="s">
        <v>255</v>
      </c>
      <c r="E69" s="6" t="s">
        <v>335</v>
      </c>
      <c r="F69" s="6" t="s">
        <v>336</v>
      </c>
      <c r="G69" s="6"/>
      <c r="H69" s="7" t="s">
        <v>256</v>
      </c>
      <c r="I69" s="7"/>
      <c r="J69" s="7"/>
      <c r="K69" s="7"/>
      <c r="L69" s="6" t="s">
        <v>337</v>
      </c>
      <c r="M69" s="7"/>
      <c r="N69" s="7" t="s">
        <v>338</v>
      </c>
      <c r="O69" s="7"/>
      <c r="P69" s="7" t="s">
        <v>9</v>
      </c>
      <c r="Q69" s="7" t="s">
        <v>251</v>
      </c>
      <c r="R69" s="6" t="s">
        <v>252</v>
      </c>
      <c r="S69" s="7" t="s">
        <v>451</v>
      </c>
    </row>
    <row r="70" spans="1:19" ht="30.1" customHeight="1" x14ac:dyDescent="0.45">
      <c r="A70" s="6" t="s">
        <v>257</v>
      </c>
      <c r="B70" s="7" t="s">
        <v>9</v>
      </c>
      <c r="C70" s="7" t="s">
        <v>258</v>
      </c>
      <c r="D70" s="7" t="s">
        <v>259</v>
      </c>
      <c r="E70" s="6" t="s">
        <v>335</v>
      </c>
      <c r="F70" s="6" t="s">
        <v>336</v>
      </c>
      <c r="G70" s="6"/>
      <c r="H70" s="7" t="s">
        <v>129</v>
      </c>
      <c r="I70" s="7"/>
      <c r="J70" s="7"/>
      <c r="K70" s="7"/>
      <c r="L70" s="6" t="s">
        <v>337</v>
      </c>
      <c r="M70" s="7"/>
      <c r="N70" s="7" t="s">
        <v>338</v>
      </c>
      <c r="O70" s="7"/>
      <c r="P70" s="7" t="s">
        <v>9</v>
      </c>
      <c r="Q70" s="7" t="s">
        <v>251</v>
      </c>
      <c r="R70" s="6" t="s">
        <v>252</v>
      </c>
      <c r="S70" s="7" t="s">
        <v>452</v>
      </c>
    </row>
    <row r="71" spans="1:19" ht="30.1" customHeight="1" x14ac:dyDescent="0.45">
      <c r="A71" s="6" t="s">
        <v>260</v>
      </c>
      <c r="B71" s="7" t="s">
        <v>9</v>
      </c>
      <c r="C71" s="7" t="s">
        <v>261</v>
      </c>
      <c r="D71" s="7" t="s">
        <v>262</v>
      </c>
      <c r="E71" s="6" t="s">
        <v>335</v>
      </c>
      <c r="F71" s="6" t="s">
        <v>336</v>
      </c>
      <c r="G71" s="6"/>
      <c r="H71" s="7" t="s">
        <v>129</v>
      </c>
      <c r="I71" s="7"/>
      <c r="J71" s="7"/>
      <c r="K71" s="7"/>
      <c r="L71" s="6" t="s">
        <v>337</v>
      </c>
      <c r="M71" s="7"/>
      <c r="N71" s="7" t="s">
        <v>338</v>
      </c>
      <c r="O71" s="7"/>
      <c r="P71" s="7" t="s">
        <v>9</v>
      </c>
      <c r="Q71" s="7" t="s">
        <v>251</v>
      </c>
      <c r="R71" s="6" t="s">
        <v>252</v>
      </c>
      <c r="S71" s="7" t="s">
        <v>453</v>
      </c>
    </row>
    <row r="72" spans="1:19" ht="30.1" customHeight="1" x14ac:dyDescent="0.45">
      <c r="A72" s="6" t="s">
        <v>263</v>
      </c>
      <c r="B72" s="7" t="s">
        <v>9</v>
      </c>
      <c r="C72" s="7" t="s">
        <v>264</v>
      </c>
      <c r="D72" s="7" t="s">
        <v>265</v>
      </c>
      <c r="E72" s="6" t="s">
        <v>335</v>
      </c>
      <c r="F72" s="6" t="s">
        <v>336</v>
      </c>
      <c r="G72" s="6"/>
      <c r="H72" s="7" t="s">
        <v>464</v>
      </c>
      <c r="I72" s="7"/>
      <c r="J72" s="7"/>
      <c r="K72" s="7"/>
      <c r="L72" s="6" t="s">
        <v>337</v>
      </c>
      <c r="M72" s="7"/>
      <c r="N72" s="7" t="s">
        <v>338</v>
      </c>
      <c r="O72" s="7"/>
      <c r="P72" s="7" t="s">
        <v>9</v>
      </c>
      <c r="Q72" s="7" t="s">
        <v>266</v>
      </c>
      <c r="R72" s="6" t="s">
        <v>267</v>
      </c>
      <c r="S72" s="7" t="s">
        <v>454</v>
      </c>
    </row>
    <row r="73" spans="1:19" ht="30.1" customHeight="1" x14ac:dyDescent="0.45">
      <c r="A73" s="6" t="s">
        <v>268</v>
      </c>
      <c r="B73" s="7" t="s">
        <v>9</v>
      </c>
      <c r="C73" s="7" t="s">
        <v>269</v>
      </c>
      <c r="D73" s="7" t="s">
        <v>270</v>
      </c>
      <c r="E73" s="6" t="s">
        <v>335</v>
      </c>
      <c r="F73" s="6" t="s">
        <v>336</v>
      </c>
      <c r="G73" s="6"/>
      <c r="H73" s="7" t="s">
        <v>271</v>
      </c>
      <c r="I73" s="7"/>
      <c r="J73" s="7"/>
      <c r="K73" s="7"/>
      <c r="L73" s="6" t="s">
        <v>337</v>
      </c>
      <c r="M73" s="7"/>
      <c r="N73" s="7" t="s">
        <v>338</v>
      </c>
      <c r="O73" s="7"/>
      <c r="P73" s="7" t="s">
        <v>9</v>
      </c>
      <c r="Q73" s="7" t="s">
        <v>266</v>
      </c>
      <c r="R73" s="6" t="s">
        <v>267</v>
      </c>
      <c r="S73" s="7" t="s">
        <v>455</v>
      </c>
    </row>
    <row r="74" spans="1:19" ht="30.1" customHeight="1" x14ac:dyDescent="0.45">
      <c r="A74" s="6" t="s">
        <v>272</v>
      </c>
      <c r="B74" s="7" t="s">
        <v>9</v>
      </c>
      <c r="C74" s="7" t="s">
        <v>273</v>
      </c>
      <c r="D74" s="7" t="s">
        <v>274</v>
      </c>
      <c r="E74" s="6" t="s">
        <v>335</v>
      </c>
      <c r="F74" s="6" t="s">
        <v>336</v>
      </c>
      <c r="G74" s="6"/>
      <c r="H74" s="7" t="s">
        <v>129</v>
      </c>
      <c r="I74" s="7"/>
      <c r="J74" s="7"/>
      <c r="K74" s="7"/>
      <c r="L74" s="6" t="s">
        <v>337</v>
      </c>
      <c r="M74" s="7"/>
      <c r="N74" s="7" t="s">
        <v>338</v>
      </c>
      <c r="O74" s="7"/>
      <c r="P74" s="7" t="s">
        <v>9</v>
      </c>
      <c r="Q74" s="7" t="s">
        <v>266</v>
      </c>
      <c r="R74" s="6" t="s">
        <v>267</v>
      </c>
      <c r="S74" s="7" t="s">
        <v>456</v>
      </c>
    </row>
    <row r="75" spans="1:19" ht="30.1" customHeight="1" x14ac:dyDescent="0.45">
      <c r="A75" s="6" t="s">
        <v>275</v>
      </c>
      <c r="B75" s="7" t="s">
        <v>9</v>
      </c>
      <c r="C75" s="7" t="s">
        <v>276</v>
      </c>
      <c r="D75" s="7" t="s">
        <v>277</v>
      </c>
      <c r="E75" s="6" t="s">
        <v>335</v>
      </c>
      <c r="F75" s="6" t="s">
        <v>336</v>
      </c>
      <c r="G75" s="6"/>
      <c r="H75" s="7" t="s">
        <v>129</v>
      </c>
      <c r="I75" s="7"/>
      <c r="J75" s="7"/>
      <c r="K75" s="7"/>
      <c r="L75" s="6" t="s">
        <v>337</v>
      </c>
      <c r="M75" s="7"/>
      <c r="N75" s="7" t="s">
        <v>338</v>
      </c>
      <c r="O75" s="7"/>
      <c r="P75" s="7" t="s">
        <v>9</v>
      </c>
      <c r="Q75" s="7" t="s">
        <v>278</v>
      </c>
      <c r="R75" s="6" t="s">
        <v>279</v>
      </c>
      <c r="S75" s="7" t="s">
        <v>457</v>
      </c>
    </row>
    <row r="76" spans="1:19" ht="30.1" customHeight="1" x14ac:dyDescent="0.45">
      <c r="A76" s="6" t="s">
        <v>280</v>
      </c>
      <c r="B76" s="7" t="s">
        <v>9</v>
      </c>
      <c r="C76" s="7" t="s">
        <v>281</v>
      </c>
      <c r="D76" s="7" t="s">
        <v>282</v>
      </c>
      <c r="E76" s="6" t="s">
        <v>335</v>
      </c>
      <c r="F76" s="6" t="s">
        <v>336</v>
      </c>
      <c r="G76" s="6"/>
      <c r="H76" s="7" t="s">
        <v>129</v>
      </c>
      <c r="I76" s="7"/>
      <c r="J76" s="7"/>
      <c r="K76" s="7"/>
      <c r="L76" s="6" t="s">
        <v>337</v>
      </c>
      <c r="M76" s="7"/>
      <c r="N76" s="7" t="s">
        <v>338</v>
      </c>
      <c r="O76" s="7"/>
      <c r="P76" s="7" t="s">
        <v>9</v>
      </c>
      <c r="Q76" s="7" t="s">
        <v>278</v>
      </c>
      <c r="R76" s="6" t="s">
        <v>279</v>
      </c>
      <c r="S76" s="7" t="s">
        <v>458</v>
      </c>
    </row>
  </sheetData>
  <mergeCells count="1">
    <mergeCell ref="A1:D1"/>
  </mergeCells>
  <dataValidations count="3">
    <dataValidation type="list" allowBlank="1" sqref="E4:E76" xr:uid="{00000000-0002-0000-0500-000000000000}">
      <formula1>"Yes,No,TBC"</formula1>
      <formula2>0</formula2>
    </dataValidation>
    <dataValidation type="list" allowBlank="1" sqref="F4:F76" xr:uid="{00000000-0002-0000-0500-000001000000}">
      <formula1>"Not Started,In Progress,Complete"</formula1>
      <formula2>0</formula2>
    </dataValidation>
    <dataValidation type="list" allowBlank="1" sqref="G4:G76" xr:uid="{00000000-0002-0000-0500-000002000000}">
      <formula1>"Critical,High,Medium"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showGridLines="0" zoomScaleNormal="100" workbookViewId="0"/>
  </sheetViews>
  <sheetFormatPr defaultColWidth="8.6640625" defaultRowHeight="14.25" x14ac:dyDescent="0.45"/>
  <cols>
    <col min="1" max="1" width="10" customWidth="1"/>
    <col min="2" max="2" width="40" customWidth="1"/>
    <col min="3" max="3" width="10" customWidth="1"/>
  </cols>
  <sheetData>
    <row r="1" spans="1:3" ht="18" x14ac:dyDescent="0.55000000000000004">
      <c r="A1" s="2" t="s">
        <v>339</v>
      </c>
    </row>
    <row r="3" spans="1:3" ht="30.1" customHeight="1" x14ac:dyDescent="0.45">
      <c r="A3" s="5" t="s">
        <v>285</v>
      </c>
      <c r="B3" s="5" t="s">
        <v>286</v>
      </c>
      <c r="C3" s="5" t="s">
        <v>290</v>
      </c>
    </row>
    <row r="4" spans="1:3" x14ac:dyDescent="0.45">
      <c r="A4" s="6" t="s">
        <v>291</v>
      </c>
      <c r="B4" s="7" t="s">
        <v>6</v>
      </c>
      <c r="C4" s="6">
        <f>COUNTIF('Master Register'!$B$4:$B$76,B4)</f>
        <v>20</v>
      </c>
    </row>
    <row r="5" spans="1:3" x14ac:dyDescent="0.45">
      <c r="A5" s="6" t="s">
        <v>303</v>
      </c>
      <c r="B5" s="7" t="s">
        <v>7</v>
      </c>
      <c r="C5" s="6">
        <f>COUNTIF('Master Register'!$B$4:$B$76,B5)</f>
        <v>19</v>
      </c>
    </row>
    <row r="6" spans="1:3" x14ac:dyDescent="0.45">
      <c r="A6" s="6" t="s">
        <v>307</v>
      </c>
      <c r="B6" s="7" t="s">
        <v>9</v>
      </c>
      <c r="C6" s="6">
        <f>COUNTIF('Master Register'!$B$4:$B$76,B6)</f>
        <v>34</v>
      </c>
    </row>
    <row r="7" spans="1:3" x14ac:dyDescent="0.45">
      <c r="A7" s="11"/>
      <c r="B7" s="12" t="s">
        <v>340</v>
      </c>
      <c r="C7" s="13">
        <f>SUM(C4:C6)</f>
        <v>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8"/>
  <sheetViews>
    <sheetView showGridLines="0" tabSelected="1" zoomScaleNormal="100" workbookViewId="0">
      <selection activeCell="G32" sqref="G32"/>
    </sheetView>
  </sheetViews>
  <sheetFormatPr defaultColWidth="8.6640625" defaultRowHeight="14.25" x14ac:dyDescent="0.45"/>
  <cols>
    <col min="1" max="1" width="34" customWidth="1"/>
    <col min="2" max="2" width="12" customWidth="1"/>
    <col min="3" max="3" width="3" customWidth="1"/>
    <col min="4" max="4" width="20" customWidth="1"/>
    <col min="5" max="5" width="12" customWidth="1"/>
    <col min="6" max="6" width="3" customWidth="1"/>
    <col min="7" max="7" width="32" customWidth="1"/>
    <col min="8" max="8" width="12" customWidth="1"/>
  </cols>
  <sheetData>
    <row r="1" spans="1:8" ht="18" x14ac:dyDescent="0.55000000000000004">
      <c r="A1" s="21" t="s">
        <v>460</v>
      </c>
      <c r="B1" s="21"/>
      <c r="C1" s="21"/>
      <c r="D1" s="21"/>
      <c r="E1" s="21"/>
    </row>
    <row r="2" spans="1:8" x14ac:dyDescent="0.45">
      <c r="A2" s="23" t="s">
        <v>341</v>
      </c>
      <c r="B2" s="23"/>
      <c r="C2" s="23"/>
      <c r="D2" s="23"/>
      <c r="E2" s="23"/>
    </row>
    <row r="4" spans="1:8" x14ac:dyDescent="0.45">
      <c r="A4" s="14" t="s">
        <v>342</v>
      </c>
      <c r="B4" s="14" t="s">
        <v>343</v>
      </c>
      <c r="D4" s="14" t="s">
        <v>344</v>
      </c>
      <c r="E4" s="14" t="s">
        <v>345</v>
      </c>
    </row>
    <row r="5" spans="1:8" x14ac:dyDescent="0.45">
      <c r="A5" s="15" t="s">
        <v>346</v>
      </c>
      <c r="B5" s="16">
        <f>COUNTA('Master Register'!$A$4:$A$76)</f>
        <v>73</v>
      </c>
      <c r="D5" s="15" t="s">
        <v>347</v>
      </c>
      <c r="E5" s="17">
        <f>IF(B5=0,0,(B6+B7)/B5)</f>
        <v>0</v>
      </c>
    </row>
    <row r="6" spans="1:8" x14ac:dyDescent="0.45">
      <c r="A6" s="15" t="s">
        <v>348</v>
      </c>
      <c r="B6" s="16">
        <f>COUNTIF('Master Register'!$E$4:$E$76,"Yes")</f>
        <v>0</v>
      </c>
      <c r="D6" s="15" t="s">
        <v>349</v>
      </c>
      <c r="E6" s="16">
        <f>COUNTIF('Master Register'!$F$4:$F$76,"Complete")</f>
        <v>0</v>
      </c>
    </row>
    <row r="7" spans="1:8" x14ac:dyDescent="0.45">
      <c r="A7" s="15" t="s">
        <v>350</v>
      </c>
      <c r="B7" s="16">
        <f>COUNTIF('Master Register'!$E$4:$E$76,"No")</f>
        <v>0</v>
      </c>
      <c r="D7" s="15" t="s">
        <v>351</v>
      </c>
      <c r="E7" s="16">
        <f>COUNTIF('Master Register'!$F$4:$F$76,"In Progress")</f>
        <v>0</v>
      </c>
    </row>
    <row r="8" spans="1:8" x14ac:dyDescent="0.45">
      <c r="A8" s="15" t="s">
        <v>352</v>
      </c>
      <c r="B8" s="16">
        <f>COUNTIF('Master Register'!$E$4:$E$76,"TBC")</f>
        <v>73</v>
      </c>
      <c r="D8" s="15" t="s">
        <v>353</v>
      </c>
      <c r="E8" s="16">
        <f>COUNTIF('Master Register'!$F$4:$F$76,"Not Started")</f>
        <v>73</v>
      </c>
    </row>
    <row r="9" spans="1:8" x14ac:dyDescent="0.45">
      <c r="A9" s="15" t="s">
        <v>354</v>
      </c>
      <c r="B9" s="16">
        <f>COUNTIF('Master Register'!$G$4:$G$76,"Critical")</f>
        <v>0</v>
      </c>
      <c r="D9" s="15" t="s">
        <v>355</v>
      </c>
      <c r="E9" s="16">
        <f ca="1">COUNTIFS('Master Register'!$K$4:$K$76,"&lt;"&amp;TODAY(),'Master Register'!$K$4:$K$76,"&lt;&gt;",'Master Register'!$F$4:$F$76,"&lt;&gt;Complete")</f>
        <v>0</v>
      </c>
    </row>
    <row r="11" spans="1:8" x14ac:dyDescent="0.45">
      <c r="A11" s="18" t="s">
        <v>356</v>
      </c>
      <c r="G11" s="18" t="s">
        <v>357</v>
      </c>
    </row>
    <row r="12" spans="1:8" x14ac:dyDescent="0.45">
      <c r="A12" s="14" t="s">
        <v>22</v>
      </c>
      <c r="B12" s="14" t="s">
        <v>358</v>
      </c>
      <c r="G12" s="14" t="s">
        <v>323</v>
      </c>
      <c r="H12" s="14" t="s">
        <v>358</v>
      </c>
    </row>
    <row r="13" spans="1:8" x14ac:dyDescent="0.45">
      <c r="A13" s="7" t="s">
        <v>271</v>
      </c>
      <c r="B13" s="16">
        <f>COUNTIF('Master Register'!$H$4:$H$76,A13)</f>
        <v>1</v>
      </c>
      <c r="G13" s="7" t="s">
        <v>6</v>
      </c>
      <c r="H13" s="16">
        <f>COUNTIF('Master Register'!$B$4:$B$76,G13)</f>
        <v>20</v>
      </c>
    </row>
    <row r="14" spans="1:8" x14ac:dyDescent="0.45">
      <c r="A14" s="7" t="s">
        <v>464</v>
      </c>
      <c r="B14" s="16">
        <f>COUNTIF('Master Register'!$H$4:$H$76,A14)</f>
        <v>35</v>
      </c>
      <c r="G14" s="7" t="s">
        <v>7</v>
      </c>
      <c r="H14" s="16">
        <f>COUNTIF('Master Register'!$B$4:$B$76,G14)</f>
        <v>19</v>
      </c>
    </row>
    <row r="15" spans="1:8" x14ac:dyDescent="0.45">
      <c r="A15" s="7" t="s">
        <v>467</v>
      </c>
      <c r="B15" s="16">
        <f>COUNTIF('Master Register'!$H$4:$H$76,A15)</f>
        <v>1</v>
      </c>
      <c r="G15" s="7" t="s">
        <v>9</v>
      </c>
      <c r="H15" s="16">
        <f>COUNTIF('Master Register'!$B$4:$B$76,G15)</f>
        <v>34</v>
      </c>
    </row>
    <row r="16" spans="1:8" x14ac:dyDescent="0.45">
      <c r="A16" s="7" t="s">
        <v>470</v>
      </c>
      <c r="B16" s="16">
        <f>COUNTIF('Master Register'!$H$4:$H$76,A16)</f>
        <v>4</v>
      </c>
      <c r="G16" s="12" t="s">
        <v>340</v>
      </c>
      <c r="H16" s="16">
        <f>SUM(H13:H15)</f>
        <v>73</v>
      </c>
    </row>
    <row r="17" spans="1:2" x14ac:dyDescent="0.45">
      <c r="A17" s="7" t="s">
        <v>473</v>
      </c>
      <c r="B17" s="16">
        <f>COUNTIF('Master Register'!$H$4:$H$76,A17)</f>
        <v>1</v>
      </c>
    </row>
    <row r="18" spans="1:2" ht="28.5" x14ac:dyDescent="0.45">
      <c r="A18" s="7" t="s">
        <v>469</v>
      </c>
      <c r="B18" s="16">
        <f>COUNTIF('Master Register'!$H$4:$H$76,A18)</f>
        <v>3</v>
      </c>
    </row>
    <row r="19" spans="1:2" x14ac:dyDescent="0.45">
      <c r="A19" s="7" t="s">
        <v>227</v>
      </c>
      <c r="B19" s="16">
        <f>COUNTIF('Master Register'!$H$4:$H$76,A19)</f>
        <v>1</v>
      </c>
    </row>
    <row r="20" spans="1:2" x14ac:dyDescent="0.45">
      <c r="A20" s="7" t="s">
        <v>172</v>
      </c>
      <c r="B20" s="16">
        <f>COUNTIF('Master Register'!$H$4:$H$76,A20)</f>
        <v>1</v>
      </c>
    </row>
    <row r="21" spans="1:2" x14ac:dyDescent="0.45">
      <c r="A21" s="7" t="s">
        <v>129</v>
      </c>
      <c r="B21" s="16">
        <f>COUNTIF('Master Register'!$H$4:$H$76,A21)</f>
        <v>17</v>
      </c>
    </row>
    <row r="22" spans="1:2" x14ac:dyDescent="0.45">
      <c r="A22" s="7" t="s">
        <v>256</v>
      </c>
      <c r="B22" s="16">
        <f>COUNTIF('Master Register'!$H$4:$H$76,A22)</f>
        <v>1</v>
      </c>
    </row>
    <row r="23" spans="1:2" x14ac:dyDescent="0.45">
      <c r="A23" s="7" t="s">
        <v>472</v>
      </c>
      <c r="B23" s="16">
        <f>COUNTIF('Master Register'!$H$4:$H$76,A23)</f>
        <v>1</v>
      </c>
    </row>
    <row r="24" spans="1:2" ht="28.5" x14ac:dyDescent="0.45">
      <c r="A24" s="7" t="s">
        <v>218</v>
      </c>
      <c r="B24" s="16">
        <f>COUNTIF('Master Register'!$H$4:$H$76,A24)</f>
        <v>1</v>
      </c>
    </row>
    <row r="25" spans="1:2" x14ac:dyDescent="0.45">
      <c r="A25" s="7" t="s">
        <v>238</v>
      </c>
      <c r="B25" s="16">
        <f>COUNTIF('Master Register'!$H$4:$H$76,A25)</f>
        <v>1</v>
      </c>
    </row>
    <row r="26" spans="1:2" x14ac:dyDescent="0.45">
      <c r="A26" s="7" t="s">
        <v>176</v>
      </c>
      <c r="B26" s="16">
        <f>COUNTIF('Master Register'!$H$4:$H$76,A26)</f>
        <v>2</v>
      </c>
    </row>
    <row r="27" spans="1:2" x14ac:dyDescent="0.45">
      <c r="A27" s="7" t="s">
        <v>234</v>
      </c>
      <c r="B27" s="16">
        <f>COUNTIF('Master Register'!$H$4:$H$76,A27)</f>
        <v>1</v>
      </c>
    </row>
    <row r="28" spans="1:2" x14ac:dyDescent="0.45">
      <c r="A28" s="7" t="s">
        <v>168</v>
      </c>
      <c r="B28" s="16">
        <f>COUNTIF('Master Register'!$H$4:$H$76,A28)</f>
        <v>2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showGridLines="0" zoomScaleNormal="100" workbookViewId="0">
      <selection activeCell="F45" sqref="F44:F45"/>
    </sheetView>
  </sheetViews>
  <sheetFormatPr defaultColWidth="8.6640625" defaultRowHeight="14.25" x14ac:dyDescent="0.45"/>
  <cols>
    <col min="1" max="1" width="26" customWidth="1"/>
    <col min="2" max="2" width="56" customWidth="1"/>
    <col min="3" max="3" width="42" customWidth="1"/>
    <col min="4" max="4" width="3" customWidth="1"/>
    <col min="5" max="5" width="30" customWidth="1"/>
    <col min="6" max="6" width="12" customWidth="1"/>
  </cols>
  <sheetData>
    <row r="1" spans="1:6" ht="18" x14ac:dyDescent="0.55000000000000004">
      <c r="A1" s="21" t="s">
        <v>359</v>
      </c>
      <c r="B1" s="21"/>
      <c r="C1" s="21"/>
    </row>
    <row r="3" spans="1:6" ht="30.1" customHeight="1" x14ac:dyDescent="0.45">
      <c r="A3" s="5" t="s">
        <v>360</v>
      </c>
      <c r="B3" s="5" t="s">
        <v>361</v>
      </c>
      <c r="C3" s="5" t="s">
        <v>362</v>
      </c>
      <c r="E3" s="5" t="s">
        <v>363</v>
      </c>
      <c r="F3" s="5" t="s">
        <v>364</v>
      </c>
    </row>
    <row r="4" spans="1:6" ht="30.1" customHeight="1" x14ac:dyDescent="0.45">
      <c r="A4" s="19" t="s">
        <v>323</v>
      </c>
      <c r="B4" s="20" t="s">
        <v>365</v>
      </c>
      <c r="C4" s="20" t="s">
        <v>366</v>
      </c>
      <c r="E4" s="7" t="s">
        <v>271</v>
      </c>
      <c r="F4" s="6" t="s">
        <v>367</v>
      </c>
    </row>
    <row r="5" spans="1:6" ht="30.1" customHeight="1" x14ac:dyDescent="0.45">
      <c r="A5" s="19" t="s">
        <v>324</v>
      </c>
      <c r="B5" s="20" t="s">
        <v>368</v>
      </c>
      <c r="C5" s="20" t="s">
        <v>369</v>
      </c>
      <c r="E5" s="7" t="s">
        <v>464</v>
      </c>
      <c r="F5" s="6" t="s">
        <v>370</v>
      </c>
    </row>
    <row r="6" spans="1:6" ht="30.1" customHeight="1" x14ac:dyDescent="0.45">
      <c r="A6" s="19" t="s">
        <v>325</v>
      </c>
      <c r="B6" s="20" t="s">
        <v>371</v>
      </c>
      <c r="C6" s="20" t="s">
        <v>372</v>
      </c>
      <c r="E6" s="7" t="s">
        <v>467</v>
      </c>
      <c r="F6" s="6" t="s">
        <v>335</v>
      </c>
    </row>
    <row r="7" spans="1:6" ht="30.1" customHeight="1" x14ac:dyDescent="0.45">
      <c r="A7" s="19" t="s">
        <v>326</v>
      </c>
      <c r="B7" s="20" t="s">
        <v>373</v>
      </c>
      <c r="C7" s="20" t="s">
        <v>374</v>
      </c>
      <c r="E7" s="7" t="s">
        <v>470</v>
      </c>
      <c r="F7" s="6" t="s">
        <v>336</v>
      </c>
    </row>
    <row r="8" spans="1:6" ht="30.1" customHeight="1" x14ac:dyDescent="0.45">
      <c r="A8" s="19" t="s">
        <v>22</v>
      </c>
      <c r="B8" s="20" t="s">
        <v>375</v>
      </c>
      <c r="C8" s="20" t="s">
        <v>475</v>
      </c>
      <c r="E8" s="7" t="s">
        <v>473</v>
      </c>
      <c r="F8" s="6" t="s">
        <v>376</v>
      </c>
    </row>
    <row r="9" spans="1:6" ht="30.1" customHeight="1" x14ac:dyDescent="0.45">
      <c r="A9" s="19" t="s">
        <v>329</v>
      </c>
      <c r="B9" s="20" t="s">
        <v>377</v>
      </c>
      <c r="C9" s="20" t="s">
        <v>378</v>
      </c>
      <c r="E9" s="7" t="s">
        <v>469</v>
      </c>
      <c r="F9" s="6" t="s">
        <v>379</v>
      </c>
    </row>
    <row r="10" spans="1:6" ht="30.1" customHeight="1" x14ac:dyDescent="0.45">
      <c r="A10" s="19" t="s">
        <v>380</v>
      </c>
      <c r="B10" s="20" t="s">
        <v>461</v>
      </c>
      <c r="C10" s="20" t="s">
        <v>381</v>
      </c>
      <c r="E10" s="7" t="s">
        <v>227</v>
      </c>
      <c r="F10" s="6" t="s">
        <v>382</v>
      </c>
    </row>
    <row r="11" spans="1:6" x14ac:dyDescent="0.45">
      <c r="E11" s="7" t="s">
        <v>172</v>
      </c>
      <c r="F11" s="6" t="s">
        <v>383</v>
      </c>
    </row>
    <row r="12" spans="1:6" x14ac:dyDescent="0.45">
      <c r="E12" s="7" t="s">
        <v>129</v>
      </c>
      <c r="F12" s="6" t="s">
        <v>384</v>
      </c>
    </row>
    <row r="13" spans="1:6" x14ac:dyDescent="0.45">
      <c r="E13" s="7" t="s">
        <v>256</v>
      </c>
    </row>
    <row r="14" spans="1:6" x14ac:dyDescent="0.45">
      <c r="E14" s="7" t="s">
        <v>472</v>
      </c>
    </row>
    <row r="15" spans="1:6" ht="28.5" x14ac:dyDescent="0.45">
      <c r="E15" s="7" t="s">
        <v>218</v>
      </c>
    </row>
    <row r="16" spans="1:6" x14ac:dyDescent="0.45">
      <c r="E16" s="7" t="s">
        <v>238</v>
      </c>
    </row>
    <row r="17" spans="5:5" x14ac:dyDescent="0.45">
      <c r="E17" s="7" t="s">
        <v>176</v>
      </c>
    </row>
    <row r="18" spans="5:5" x14ac:dyDescent="0.45">
      <c r="E18" s="7" t="s">
        <v>234</v>
      </c>
    </row>
    <row r="19" spans="5:5" x14ac:dyDescent="0.45">
      <c r="E19" s="7" t="s">
        <v>168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Read Me</vt:lpstr>
      <vt:lpstr>Stage 1 - Bid &amp; Tender</vt:lpstr>
      <vt:lpstr>Stage 2 - Contract Award</vt:lpstr>
      <vt:lpstr>Stage 3 - Pre-Construction</vt:lpstr>
      <vt:lpstr>Design Folder Structure</vt:lpstr>
      <vt:lpstr>Master Register</vt:lpstr>
      <vt:lpstr>Folder Coverage</vt:lpstr>
      <vt:lpstr>Dashboard</vt:lpstr>
      <vt:lpstr>Guidance &amp; Lookups</vt:lpstr>
      <vt:lpstr>'Master Register'!Print_Titles</vt:lpstr>
      <vt:lpstr>'Stage 1 - Bid &amp; Tender'!Print_Titles</vt:lpstr>
      <vt:lpstr>'Stage 2 - Contract Award'!Print_Titles</vt:lpstr>
      <vt:lpstr>'Stage 3 - Pre-Construction'!Print_Titles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P5RS Canalside Regency Apartments - Pre-Construction Delivery Register (Rev P01)</dc:title>
  <dc:subject/>
  <dc:creator>Joan Raza</dc:creator>
  <cp:keywords/>
  <dc:description/>
  <cp:lastModifiedBy>Joan Kazmi</cp:lastModifiedBy>
  <cp:revision>1</cp:revision>
  <dcterms:created xsi:type="dcterms:W3CDTF">2026-09-01T08:54:29Z</dcterms:created>
  <dcterms:modified xsi:type="dcterms:W3CDTF">2026-09-01T10:06:53Z</dcterms:modified>
  <cp:category/>
  <dc:language>en-US</dc:language>
</cp:coreProperties>
</file>