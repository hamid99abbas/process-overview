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za_\OneDrive - Meridian Construction &amp; Refurbishments Ltd\Desktop\PCSA - To Hamid\To Hamid\"/>
    </mc:Choice>
  </mc:AlternateContent>
  <xr:revisionPtr revIDLastSave="0" documentId="13_ncr:1_{10D8F38F-800A-4267-A27F-9A5E7F0EB20A}" xr6:coauthVersionLast="47" xr6:coauthVersionMax="47" xr10:uidLastSave="{00000000-0000-0000-0000-000000000000}"/>
  <bookViews>
    <workbookView xWindow="28690" yWindow="-110" windowWidth="38620" windowHeight="21100" tabRatio="500" activeTab="3" xr2:uid="{00000000-000D-0000-FFFF-FFFF00000000}"/>
  </bookViews>
  <sheets>
    <sheet name="Read Me" sheetId="1" r:id="rId1"/>
    <sheet name="Stage 1 - Bid &amp; Tender" sheetId="2" r:id="rId2"/>
    <sheet name="Stage 2 - Contract Award" sheetId="3" r:id="rId3"/>
    <sheet name="Stage 3 - Pre-Construction" sheetId="4" r:id="rId4"/>
    <sheet name="Construction Folder Structure" sheetId="5" r:id="rId5"/>
    <sheet name="Master Register" sheetId="6" r:id="rId6"/>
    <sheet name="Folder Coverage" sheetId="7" r:id="rId7"/>
    <sheet name="Dashboard" sheetId="8" r:id="rId8"/>
    <sheet name="Guidance &amp; Lookups" sheetId="9" r:id="rId9"/>
  </sheets>
  <definedNames>
    <definedName name="_xlnm.Print_Titles" localSheetId="5">'Master Register'!$3:$3</definedName>
    <definedName name="_xlnm.Print_Titles" localSheetId="1">'Stage 1 - Bid &amp; Tender'!$5:$5</definedName>
    <definedName name="_xlnm.Print_Titles" localSheetId="2">'Stage 2 - Contract Award'!$5:$5</definedName>
    <definedName name="_xlnm.Print_Titles" localSheetId="3">'Stage 3 - Pre-Construction'!$5:$5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8" l="1"/>
  <c r="B22" i="8"/>
  <c r="B21" i="8"/>
  <c r="B20" i="8"/>
  <c r="B19" i="8"/>
  <c r="B18" i="8"/>
  <c r="B17" i="8"/>
  <c r="H16" i="8"/>
  <c r="B16" i="8"/>
  <c r="H15" i="8"/>
  <c r="B15" i="8"/>
  <c r="H14" i="8"/>
  <c r="B14" i="8"/>
  <c r="H13" i="8"/>
  <c r="B13" i="8"/>
  <c r="E9" i="8"/>
  <c r="B9" i="8"/>
  <c r="E8" i="8"/>
  <c r="B8" i="8"/>
  <c r="E7" i="8"/>
  <c r="B7" i="8"/>
  <c r="E6" i="8"/>
  <c r="B6" i="8"/>
  <c r="E5" i="8"/>
  <c r="B5" i="8"/>
  <c r="C7" i="7"/>
  <c r="C6" i="7"/>
  <c r="C5" i="7"/>
  <c r="C4" i="7"/>
</calcChain>
</file>

<file path=xl/sharedStrings.xml><?xml version="1.0" encoding="utf-8"?>
<sst xmlns="http://schemas.openxmlformats.org/spreadsheetml/2006/main" count="950" uniqueCount="342">
  <si>
    <t>Construction Team — Pre-Construction Readiness Register</t>
  </si>
  <si>
    <t>Project</t>
  </si>
  <si>
    <t>What this is</t>
  </si>
  <si>
    <t>The construction team's pre-construction readiness deliverables, in the same 9-tab structure and house style as the Commercial and Design registers so the three form one PCSA document-control pack.</t>
  </si>
  <si>
    <t>IMPORTANT — status of this list</t>
  </si>
  <si>
    <t>Unlike the Commercial and Design registers (which reformat real source content), this register is a GENERATED standard construction document set — no construction-team source list was provided. Treat it as a starting template for the construction/operations team to review, correct and own before issue.</t>
  </si>
  <si>
    <t>Spine</t>
  </si>
  <si>
    <t>Same three procurement gates as the other registers: Stage 1 - Bid &amp; Tender, Stage 2 - Contract Award, Stage 3 - Pre-Construction. This is a PRE-CONSTRUCTION readiness register, not a build-phase document register.</t>
  </si>
  <si>
    <t>Scope note</t>
  </si>
  <si>
    <t>Covers the production / site / logistics / temporary-works / H&amp;S / programme domain — deliberately distinct from the Commercial (money/contract) and Design (drawings/specs) registers. If you need the build-phase set (RAMS per activity, ITPs, permits, progress records, snagging, O&amp;M/handover) phased Mobilisation -&gt; Construction -&gt; Completion, that is a separate register.</t>
  </si>
  <si>
    <t>Sheets</t>
  </si>
  <si>
    <t>Read Me / Stage 1-3 checklists (views) / Construction Folder Structure / Master Register (single source of truth) / Folder Coverage / Dashboard (live counts) / Guidance &amp; Lookups.</t>
  </si>
  <si>
    <t>Naming (proposed)</t>
  </si>
  <si>
    <t>Input fields</t>
  </si>
  <si>
    <t>Include in Pack?, Priority, Delivery Status, Target Date, Document Reference, Revision and Comments are controlled input fields (dropdowns where relevant). Delivery Status defaults to Planned; set the rest live.</t>
  </si>
  <si>
    <t>Owners</t>
  </si>
  <si>
    <t>Owner / Lead Party uses construction roles (PM, Construction Manager, Planner, TWC, H&amp;S Manager, Quality Manager, Procurement). Confirm the named holders on appointment.</t>
  </si>
  <si>
    <t>Stage 1 - Bid &amp; Tender</t>
  </si>
  <si>
    <t>10 deliverables   ·   Rev P01</t>
  </si>
  <si>
    <t>Construction team's inputs to the tender/bid — buildability, methodology, logistics and temporary-works/H&amp;S assumptions the bid is built on.  Filtered view of the Master Register — edit items there, not here.</t>
  </si>
  <si>
    <t>Ref</t>
  </si>
  <si>
    <t>Construction Document / Deliverable</t>
  </si>
  <si>
    <t>Purpose / Assurance Provided</t>
  </si>
  <si>
    <t>Owner / Lead Party</t>
  </si>
  <si>
    <t>Delivery Status</t>
  </si>
  <si>
    <t>TYPE</t>
  </si>
  <si>
    <t>Proposed File Name</t>
  </si>
  <si>
    <t>Comments / Key Actions</t>
  </si>
  <si>
    <t>1.01</t>
  </si>
  <si>
    <t>Tender / Outline Construction Programme</t>
  </si>
  <si>
    <t>Sets the tendered construction sequence, durations and key milestones the bid is priced against.</t>
  </si>
  <si>
    <t>Meridian Planner</t>
  </si>
  <si>
    <t>Planned</t>
  </si>
  <si>
    <t>TPM</t>
  </si>
  <si>
    <t>Baseline for the contract programme at award; keep the logic file.</t>
  </si>
  <si>
    <t>1.02</t>
  </si>
  <si>
    <t>Construction Methodology &amp; Sequencing Statement</t>
  </si>
  <si>
    <t>Describes how the works will be built, in what order, and the principal construction assumptions.</t>
  </si>
  <si>
    <t>Meridian Construction Manager</t>
  </si>
  <si>
    <t>Aligns with tender programme; flag any assumptions that carry commercial risk.</t>
  </si>
  <si>
    <t>1.03</t>
  </si>
  <si>
    <t>Buildability &amp; Constructability Review</t>
  </si>
  <si>
    <t>Records buildability input into the tender design and any efficiency / VE opportunities.</t>
  </si>
  <si>
    <t>Feed outputs into the design register VE items.</t>
  </si>
  <si>
    <t>1.04</t>
  </si>
  <si>
    <t>Site Logistics &amp; Access Strategy (Tender)</t>
  </si>
  <si>
    <t>Establishes site access, compound, storage, deliveries and craneage assumptions for the bid.</t>
  </si>
  <si>
    <t>SLE</t>
  </si>
  <si>
    <t>Confirm against highways/neighbour constraints.</t>
  </si>
  <si>
    <t>1.05</t>
  </si>
  <si>
    <t>Site Establishment &amp; Preliminaries Basis</t>
  </si>
  <si>
    <t>Defines the site set-up and preliminaries assumptions priced in the tender.</t>
  </si>
  <si>
    <t>Meridian / Commercial</t>
  </si>
  <si>
    <t>Reconcile with the commercial preliminaries budget.</t>
  </si>
  <si>
    <t>1.06</t>
  </si>
  <si>
    <t>Plant, Crane &amp; Hoisting Strategy (Tender)</t>
  </si>
  <si>
    <t>Sets out the principal plant, crane and material-movement strategy assumed at tender.</t>
  </si>
  <si>
    <t>1.07</t>
  </si>
  <si>
    <t>Temporary Works Assumptions &amp; Design Approach</t>
  </si>
  <si>
    <t>Identifies the temporary works foreseen and the intended design/approval approach.</t>
  </si>
  <si>
    <t>Temporary Works Coordinator</t>
  </si>
  <si>
    <t>TWS</t>
  </si>
  <si>
    <t>Confirm TWC appointment carries into Stage 2.</t>
  </si>
  <si>
    <t>1.08</t>
  </si>
  <si>
    <t>Outline Construction Phase H&amp;S / CDM Approach</t>
  </si>
  <si>
    <t>Sets the tender-stage construction H&amp;S and CDM approach and principal-contractor duties.</t>
  </si>
  <si>
    <t>Meridian H&amp;S Manager</t>
  </si>
  <si>
    <t>Develops into the Construction Phase Plan at award.</t>
  </si>
  <si>
    <t>1.09</t>
  </si>
  <si>
    <t>Key Construction Risks &amp; Mitigation Schedule (Tender)</t>
  </si>
  <si>
    <t>Captures the principal construction risks priced and how they are to be managed.</t>
  </si>
  <si>
    <t>CRA</t>
  </si>
  <si>
    <t>Cross-check against the commercial risk register.</t>
  </si>
  <si>
    <t>1.10</t>
  </si>
  <si>
    <t>Logistics, Traffic &amp; Neighbour Constraints Assumptions</t>
  </si>
  <si>
    <t>Records traffic management, working-hours and neighbour constraints assumed in the bid.</t>
  </si>
  <si>
    <t>Stage 2 - Contract Award</t>
  </si>
  <si>
    <t>12 deliverables   ·   Rev P01</t>
  </si>
  <si>
    <t>Construction mobilisation and delivery-planning produced on appointment to the PCSA — construction programme, CPP, site setup, temporary works, procurement.  Filtered view of the Master Register — edit items there, not here.</t>
  </si>
  <si>
    <t>2.01</t>
  </si>
  <si>
    <t>Contract / Baseline Construction Programme</t>
  </si>
  <si>
    <t>The contract-baselined construction programme against which progress is measured.</t>
  </si>
  <si>
    <t>CPR</t>
  </si>
  <si>
    <t>Baseline and lock; issue under the contract.</t>
  </si>
  <si>
    <t>2.02</t>
  </si>
  <si>
    <t>Construction Phase Plan (CPP) - Draft</t>
  </si>
  <si>
    <t>The developing CDM construction phase plan for the works.</t>
  </si>
  <si>
    <t>Must be adequate before any works start.</t>
  </si>
  <si>
    <t>2.03</t>
  </si>
  <si>
    <t>Mobilisation Plan &amp; Programme</t>
  </si>
  <si>
    <t>Sequences site set-up, procurement and readiness activities up to start on site.</t>
  </si>
  <si>
    <t>Meridian Project Manager</t>
  </si>
  <si>
    <t>2.04</t>
  </si>
  <si>
    <t>Site Establishment Design &amp; Layout</t>
  </si>
  <si>
    <t>The developed site compound, welfare, access and storage layout design.</t>
  </si>
  <si>
    <t>SSL</t>
  </si>
  <si>
    <t>2.05</t>
  </si>
  <si>
    <t>Developed Site Logistics &amp; Traffic Management Plan</t>
  </si>
  <si>
    <t>Coordinates deliveries, craneage, access and traffic management for the build.</t>
  </si>
  <si>
    <t>Liaise with highways/LPA where required.</t>
  </si>
  <si>
    <t>2.06</t>
  </si>
  <si>
    <t>Enabling Works &amp; Utilities Plan</t>
  </si>
  <si>
    <t>Plans enabling works, diversions and temporary/permanent utility connections.</t>
  </si>
  <si>
    <t>Meridian / Utility Designers</t>
  </si>
  <si>
    <t>Depends on utility capacities from the design register.</t>
  </si>
  <si>
    <t>2.07</t>
  </si>
  <si>
    <t>Temporary Works Register &amp; TWC Appointment</t>
  </si>
  <si>
    <t>Establishes the temporary works register, roles and approval process.</t>
  </si>
  <si>
    <t>TWM</t>
  </si>
  <si>
    <t>No TW to proceed without a design check certificate.</t>
  </si>
  <si>
    <t>2.08</t>
  </si>
  <si>
    <t>Key Package Method Statements (RAMS Framework)</t>
  </si>
  <si>
    <t>Sets the method-statement/RAMS framework for principal construction packages.</t>
  </si>
  <si>
    <t>2.09</t>
  </si>
  <si>
    <t>Construction Procurement &amp; Package Award Schedule</t>
  </si>
  <si>
    <t>Schedules construction package procurement and award against the programme need-by dates.</t>
  </si>
  <si>
    <t>CPS</t>
  </si>
  <si>
    <t>Align with commercial procurement register.</t>
  </si>
  <si>
    <t>2.10</t>
  </si>
  <si>
    <t>Long-Lead &amp; Enabling Subcontract Orders</t>
  </si>
  <si>
    <t>Places long-lead and enabling orders early enough to protect the programme.</t>
  </si>
  <si>
    <t>2.11</t>
  </si>
  <si>
    <t>Site H&amp;S Management Arrangements</t>
  </si>
  <si>
    <t>Defines site safety management, supervision and induction arrangements.</t>
  </si>
  <si>
    <t>SHE</t>
  </si>
  <si>
    <t>2.12</t>
  </si>
  <si>
    <t>Construction Environmental Management Plan (CEMP)</t>
  </si>
  <si>
    <t>Sets site environmental controls, discharge, noise, dust and waste management.</t>
  </si>
  <si>
    <t>Meridian H&amp;S / Environmental</t>
  </si>
  <si>
    <t>Check planning conditions for environmental triggers.</t>
  </si>
  <si>
    <t>Stage 3 - Pre-Construction</t>
  </si>
  <si>
    <t>15 deliverables   ·   Rev P01</t>
  </si>
  <si>
    <t>Construction readiness delivered at pre-con completion — final CPP and programme, quality/ITP framework, temporary-works designs, permits, and the go/no-go readiness report.  Filtered view of the Master Register — edit items there, not here.</t>
  </si>
  <si>
    <t>3.01</t>
  </si>
  <si>
    <t>Construction Phase Plan (CPP) - Final / Issued</t>
  </si>
  <si>
    <t>The issued CDM construction phase plan controlling the works.</t>
  </si>
  <si>
    <t>CFP</t>
  </si>
  <si>
    <t>Must be issued before start on site.</t>
  </si>
  <si>
    <t>3.02</t>
  </si>
  <si>
    <t>Final Baselined Construction Programme</t>
  </si>
  <si>
    <t>The final, resourced and baselined construction programme for delivery.</t>
  </si>
  <si>
    <t>3.03</t>
  </si>
  <si>
    <t>Project Quality Management Plan</t>
  </si>
  <si>
    <t>Defines the quality management system, roles and control points for the build.</t>
  </si>
  <si>
    <t>Meridian Quality Manager</t>
  </si>
  <si>
    <t>QIN</t>
  </si>
  <si>
    <t>3.04</t>
  </si>
  <si>
    <t>Inspection &amp; Test Plans (ITP) Framework</t>
  </si>
  <si>
    <t>Establishes ITPs, hold/witness points and sign-off routes for key trades.</t>
  </si>
  <si>
    <t>Populate per package as procured.</t>
  </si>
  <si>
    <t>3.05</t>
  </si>
  <si>
    <t>Materials &amp; Sample Approval Process</t>
  </si>
  <si>
    <t>Controls product, material and benchmark approval before order/installation.</t>
  </si>
  <si>
    <t>Links to design technical submittal register.</t>
  </si>
  <si>
    <t>3.06</t>
  </si>
  <si>
    <t>Temporary Works Designs &amp; Approved Register</t>
  </si>
  <si>
    <t>The temporary works designs, checks and approved register for construction.</t>
  </si>
  <si>
    <t>TWD</t>
  </si>
  <si>
    <t>No TW loaded without design check certificate.</t>
  </si>
  <si>
    <t>3.07</t>
  </si>
  <si>
    <t>Excavation, Groundworks &amp; Craneage TW Designs</t>
  </si>
  <si>
    <t>Specific temporary works designs for excavation, groundworks and lifting.</t>
  </si>
  <si>
    <t>3.08</t>
  </si>
  <si>
    <t>Permit-to-Work Systems Setup</t>
  </si>
  <si>
    <t>Establishes permit-to-work controls for high-risk activities.</t>
  </si>
  <si>
    <t>HSP</t>
  </si>
  <si>
    <t>3.09</t>
  </si>
  <si>
    <t>Fire &amp; Emergency Plan (Construction)</t>
  </si>
  <si>
    <t>Sets construction-phase fire, emergency and evacuation arrangements.</t>
  </si>
  <si>
    <t>3.10</t>
  </si>
  <si>
    <t>Site Waste Management Plan</t>
  </si>
  <si>
    <t>Plans waste segregation, disposal and recording for the build.</t>
  </si>
  <si>
    <t>3.11</t>
  </si>
  <si>
    <t>Subcontract Orders Placed (Key / Long-Lead)</t>
  </si>
  <si>
    <t>Confirms key and long-lead subcontract/supply orders are executed.</t>
  </si>
  <si>
    <t>SPS</t>
  </si>
  <si>
    <t>Track against programme need-by dates.</t>
  </si>
  <si>
    <t>3.12</t>
  </si>
  <si>
    <t>Construction Procurement Status &amp; Gap Report</t>
  </si>
  <si>
    <t>Reports procurement status and any package gaps threatening start on site.</t>
  </si>
  <si>
    <t>3.13</t>
  </si>
  <si>
    <t>Testing, Commissioning &amp; Handover Strategy (Construction)</t>
  </si>
  <si>
    <t>Defines the construction-side commissioning, testing and handover approach.</t>
  </si>
  <si>
    <t>Meridian / Commissioning</t>
  </si>
  <si>
    <t>CHR</t>
  </si>
  <si>
    <t>Coordinate with design handover strategy.</t>
  </si>
  <si>
    <t>3.14</t>
  </si>
  <si>
    <t>O&amp;M / As-Built Information Requirements Setup</t>
  </si>
  <si>
    <t>Sets the O&amp;M, as-built and handover information requirements from the outset.</t>
  </si>
  <si>
    <t>Meridian / Design Team</t>
  </si>
  <si>
    <t>3.15</t>
  </si>
  <si>
    <t>Pre-Construction Readiness &amp; Go/No-Go Report</t>
  </si>
  <si>
    <t>Confirms all pre-start conditions are met and authorises start on site.</t>
  </si>
  <si>
    <t>The pre-start gate — nothing starts until this is signed off.</t>
  </si>
  <si>
    <t>Construction Delivery — Folder Structure (Proposed)</t>
  </si>
  <si>
    <t>L1 = procurement stage; L2 = deliverable grouping. Aligned to the 3-stage spine. Confirm before adopting.</t>
  </si>
  <si>
    <t>L1 Code</t>
  </si>
  <si>
    <t>Level 1 Folder (Stage)</t>
  </si>
  <si>
    <t>L2 Code</t>
  </si>
  <si>
    <t>Level 2 Folder</t>
  </si>
  <si>
    <t>Lead Owner</t>
  </si>
  <si>
    <t>Items</t>
  </si>
  <si>
    <t>1.0</t>
  </si>
  <si>
    <t>Tender Programme &amp; Methodology</t>
  </si>
  <si>
    <t>1.20</t>
  </si>
  <si>
    <t>Site Logistics &amp; Establishment (Tender)</t>
  </si>
  <si>
    <t>1.30</t>
  </si>
  <si>
    <t>Temporary Works &amp; Safety (Tender)</t>
  </si>
  <si>
    <t>1.40</t>
  </si>
  <si>
    <t>Construction Risk &amp; Assumptions</t>
  </si>
  <si>
    <t>2.0</t>
  </si>
  <si>
    <t>Construction Programme &amp; Planning</t>
  </si>
  <si>
    <t>2.20</t>
  </si>
  <si>
    <t>Site Setup &amp; Logistics</t>
  </si>
  <si>
    <t>2.30</t>
  </si>
  <si>
    <t>Temporary Works &amp; Methodology</t>
  </si>
  <si>
    <t>2.40</t>
  </si>
  <si>
    <t>Construction Procurement &amp; Subcontract</t>
  </si>
  <si>
    <t>Meridian</t>
  </si>
  <si>
    <t>2.50</t>
  </si>
  <si>
    <t>Site H&amp;S &amp; Environmental</t>
  </si>
  <si>
    <t>3.0</t>
  </si>
  <si>
    <t>Construction Phase Plan &amp; Programme (Final)</t>
  </si>
  <si>
    <t>3.20</t>
  </si>
  <si>
    <t>Quality &amp; Inspection</t>
  </si>
  <si>
    <t>3.30</t>
  </si>
  <si>
    <t>Temporary Works (Design &amp; Approval)</t>
  </si>
  <si>
    <t>3.40</t>
  </si>
  <si>
    <t>Health, Safety &amp; Permits</t>
  </si>
  <si>
    <t>3.50</t>
  </si>
  <si>
    <t>Subcontract &amp; Procurement (Complete)</t>
  </si>
  <si>
    <t>3.60</t>
  </si>
  <si>
    <t>Commissioning &amp; Handover Readiness</t>
  </si>
  <si>
    <t>Stage</t>
  </si>
  <si>
    <t>Include in Pack?</t>
  </si>
  <si>
    <t>Priority</t>
  </si>
  <si>
    <t>Target Date</t>
  </si>
  <si>
    <t>Document Reference</t>
  </si>
  <si>
    <t>Revision</t>
  </si>
  <si>
    <t>Level 1 Folder</t>
  </si>
  <si>
    <t>TBC</t>
  </si>
  <si>
    <t>1.10 Tender Programme &amp; Methodology</t>
  </si>
  <si>
    <t>1.20 Site Logistics &amp; Establishment (Tender)</t>
  </si>
  <si>
    <t>1.30 Temporary Works &amp; Safety (Tender)</t>
  </si>
  <si>
    <t>1.40 Construction Risk &amp; Assumptions</t>
  </si>
  <si>
    <t>2.10 Construction Programme &amp; Planning</t>
  </si>
  <si>
    <t>2.20 Site Setup &amp; Logistics</t>
  </si>
  <si>
    <t>2.30 Temporary Works &amp; Methodology</t>
  </si>
  <si>
    <t>2.40 Construction Procurement &amp; Subcontract</t>
  </si>
  <si>
    <t>2.50 Site H&amp;S &amp; Environmental</t>
  </si>
  <si>
    <t>3.10 Construction Phase Plan &amp; Programme (Final)</t>
  </si>
  <si>
    <t>3.20 Quality &amp; Inspection</t>
  </si>
  <si>
    <t>3.30 Temporary Works (Design &amp; Approval)</t>
  </si>
  <si>
    <t>3.40 Health, Safety &amp; Permits</t>
  </si>
  <si>
    <t>3.50 Subcontract &amp; Procurement (Complete)</t>
  </si>
  <si>
    <t>3.60 Commissioning &amp; Handover Readiness</t>
  </si>
  <si>
    <t>Folder Coverage — items per stage</t>
  </si>
  <si>
    <t>TOTAL</t>
  </si>
  <si>
    <t>Live counts off the Master Register. Set Include / Priority / Delivery Status / Target Date there and these update.</t>
  </si>
  <si>
    <t>Control</t>
  </si>
  <si>
    <t>Count</t>
  </si>
  <si>
    <t>Total deliverables</t>
  </si>
  <si>
    <t>Included - Yes</t>
  </si>
  <si>
    <t>In development</t>
  </si>
  <si>
    <t>Excluded - No</t>
  </si>
  <si>
    <t>Submitted / review</t>
  </si>
  <si>
    <t>Still TBC</t>
  </si>
  <si>
    <t>Complete</t>
  </si>
  <si>
    <t>Critical priority</t>
  </si>
  <si>
    <t>Percent complete</t>
  </si>
  <si>
    <t>Deliverables by owner / lead party</t>
  </si>
  <si>
    <t>Deliverables by stage</t>
  </si>
  <si>
    <t>Documents</t>
  </si>
  <si>
    <t>How to Use This Register</t>
  </si>
  <si>
    <t>Field</t>
  </si>
  <si>
    <t>Required use</t>
  </si>
  <si>
    <t>Do not do</t>
  </si>
  <si>
    <t>Owner / Lead Party Lookup</t>
  </si>
  <si>
    <t>Values</t>
  </si>
  <si>
    <t>Set by gate: 1 Bid &amp; Tender / 2 Contract Award / 3 Pre-Construction.</t>
  </si>
  <si>
    <t>Do not leave a deliverable unstaged.</t>
  </si>
  <si>
    <t>Yes</t>
  </si>
  <si>
    <t>Set Yes / No / TBC once applicability is confirmed.</t>
  </si>
  <si>
    <t>Do not leave items at TBC once scope is fixed.</t>
  </si>
  <si>
    <t>No</t>
  </si>
  <si>
    <t>Planned / In Development / Submitted-Review / Complete against actual status.</t>
  </si>
  <si>
    <t>Do not mark Complete before formal issue/acceptance.</t>
  </si>
  <si>
    <t>Critical / High / Medium by construction risk and programme need-by.</t>
  </si>
  <si>
    <t>Do not invent criticality; tie it to the programme.</t>
  </si>
  <si>
    <t>Critical</t>
  </si>
  <si>
    <t>Construction roles — confirm the named holders on appointment.</t>
  </si>
  <si>
    <t>Do not leave safety-critical items (CPP, TW) unassigned.</t>
  </si>
  <si>
    <t>High</t>
  </si>
  <si>
    <t>Link to the mobilisation / construction programme need-by date.</t>
  </si>
  <si>
    <t>Do not use arbitrary dates disconnected from programme.</t>
  </si>
  <si>
    <t>Medium</t>
  </si>
  <si>
    <t>Content status</t>
  </si>
  <si>
    <t>Do not issue as the construction team's register without their sign-off.</t>
  </si>
  <si>
    <t>In Development</t>
  </si>
  <si>
    <t>Submitted / Review</t>
  </si>
  <si>
    <t>PROJ-CDR-[TYPE]-[####]_[Title]. CDR = Construction Delivery Register; each L2 folder has a unique TYPE. Proposed convention — confirm before issuing.</t>
  </si>
  <si>
    <t>PROJ-CDR-TPM-0001_TenderOutlineConstructionP</t>
  </si>
  <si>
    <t>PROJ-CDR-TPM-0002_ConstructionMethodologySeq</t>
  </si>
  <si>
    <t>PROJ-CDR-TPM-0003_BuildabilityConstructabili</t>
  </si>
  <si>
    <t>PROJ-CDR-SLE-0001_SiteLogisticsAccessStrateg</t>
  </si>
  <si>
    <t>PROJ-CDR-SLE-0002_SiteEstablishmentPrelimina</t>
  </si>
  <si>
    <t>PROJ-CDR-SLE-0003_PlantCraneHoistingStrategy</t>
  </si>
  <si>
    <t>PROJ-CDR-TWS-0001_TemporaryWorksAssumptionsD</t>
  </si>
  <si>
    <t>PROJ-CDR-TWS-0002_OutlineConstructionPhaseHS</t>
  </si>
  <si>
    <t>PROJ-CDR-CRA-0001_KeyConstructionRisksMitiga</t>
  </si>
  <si>
    <t>PROJ-CDR-CRA-0002_LogisticsTrafficNeighbourC</t>
  </si>
  <si>
    <t>PROJ-CDR-CPR-0001_ContractBaselineConstructi</t>
  </si>
  <si>
    <t>PROJ-CDR-CPR-0002_ConstructionPhasePlanCPPDr</t>
  </si>
  <si>
    <t>PROJ-CDR-CPR-0003_MobilisationPlanProgramme</t>
  </si>
  <si>
    <t>PROJ-CDR-SSL-0001_SiteEstablishmentDesignLay</t>
  </si>
  <si>
    <t>PROJ-CDR-SSL-0002_DevelopedSiteLogisticsTraf</t>
  </si>
  <si>
    <t>PROJ-CDR-SSL-0003_EnablingWorksUtilitiesPlan</t>
  </si>
  <si>
    <t>PROJ-CDR-TWM-0001_TemporaryWorksRegisterTWCA</t>
  </si>
  <si>
    <t>PROJ-CDR-TWM-0002_KeyPackageMethodStatements</t>
  </si>
  <si>
    <t>PROJ-CDR-CPS-0001_ConstructionProcurementPac</t>
  </si>
  <si>
    <t>PROJ-CDR-CPS-0002_LongLeadEnablingSubcontrac</t>
  </si>
  <si>
    <t>PROJ-CDR-SHE-0001_SiteHSManagementArrangemen</t>
  </si>
  <si>
    <t>PROJ-CDR-SHE-0002_ConstructionEnvironmentalM</t>
  </si>
  <si>
    <t>PROJ-CDR-CFP-0001_ConstructionPhasePlanCPPFi</t>
  </si>
  <si>
    <t>PROJ-CDR-CFP-0002_FinalBaselinedConstruction</t>
  </si>
  <si>
    <t>PROJ-CDR-QIN-0001_ProjectQualityManagementPl</t>
  </si>
  <si>
    <t>PROJ-CDR-QIN-0002_InspectionTestPlansITPFram</t>
  </si>
  <si>
    <t>PROJ-CDR-QIN-0003_MaterialsSampleApprovalPro</t>
  </si>
  <si>
    <t>PROJ-CDR-TWD-0001_TemporaryWorksDesignsAppro</t>
  </si>
  <si>
    <t>PROJ-CDR-TWD-0002_ExcavationGroundworksCrane</t>
  </si>
  <si>
    <t>PROJ-CDR-HSP-0001_PermitToWorkSystemsSetup</t>
  </si>
  <si>
    <t>PROJ-CDR-HSP-0002_FireEmergencyPlanConstruct</t>
  </si>
  <si>
    <t>PROJ-CDR-HSP-0003_SiteWasteManagementPlan</t>
  </si>
  <si>
    <t>PROJ-CDR-SPS-0001_SubcontractOrdersPlacedKey</t>
  </si>
  <si>
    <t>PROJ-CDR-SPS-0002_ConstructionProcurementSta</t>
  </si>
  <si>
    <t>PROJ-CDR-CHR-0001_TestingCommissioningHandov</t>
  </si>
  <si>
    <t>PROJ-CDR-CHR-0002_OMAsBuiltInformationRequir</t>
  </si>
  <si>
    <t>PROJ-CDR-CHR-0003_PreConstructionReadinessGo</t>
  </si>
  <si>
    <t>PROJ Canalside Regency — Construction Pre-Construction Master Register</t>
  </si>
  <si>
    <t>PROJ Construction Pre-Construction — Dashboard</t>
  </si>
  <si>
    <t>This is a generated standard set — review and adjust for PROJ.</t>
  </si>
  <si>
    <t>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</si>
</sst>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i/>
      <sz val="11"/>
      <color rgb="FF595959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1"/>
      <color rgb="FF1F3864"/>
      <name val="Calibri"/>
      <charset val="1"/>
    </font>
    <font>
      <b/>
      <sz val="11"/>
      <color rgb="FF1F2937"/>
      <name val="Calibri"/>
      <charset val="1"/>
    </font>
    <font>
      <b/>
      <sz val="11"/>
      <color rgb="FF1F4E7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B4C6E7"/>
        <bgColor rgb="FFBFBFBF"/>
      </patternFill>
    </fill>
    <fill>
      <patternFill patternType="solid">
        <fgColor rgb="FF44546A"/>
        <bgColor rgb="FF595959"/>
      </patternFill>
    </fill>
    <fill>
      <patternFill patternType="solid">
        <fgColor rgb="FF1F4E78"/>
        <bgColor rgb="FF1F3864"/>
      </patternFill>
    </fill>
    <fill>
      <patternFill patternType="solid">
        <fgColor rgb="FFF3F6F9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4546A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zoomScaleNormal="100" workbookViewId="0">
      <selection activeCell="G6" sqref="G6"/>
    </sheetView>
  </sheetViews>
  <sheetFormatPr defaultColWidth="8.6640625" defaultRowHeight="14.25" x14ac:dyDescent="0.45"/>
  <cols>
    <col min="1" max="1" width="22" customWidth="1"/>
    <col min="2" max="2" width="104" customWidth="1"/>
  </cols>
  <sheetData>
    <row r="1" spans="1:2" ht="18" x14ac:dyDescent="0.55000000000000004">
      <c r="A1" s="2" t="s">
        <v>0</v>
      </c>
    </row>
    <row r="2" spans="1:2" ht="30" customHeight="1" x14ac:dyDescent="0.45">
      <c r="A2" s="3" t="s">
        <v>1</v>
      </c>
      <c r="B2" s="4" t="s">
        <v>341</v>
      </c>
    </row>
    <row r="3" spans="1:2" ht="45" customHeight="1" x14ac:dyDescent="0.45">
      <c r="A3" s="3" t="s">
        <v>2</v>
      </c>
      <c r="B3" s="4" t="s">
        <v>3</v>
      </c>
    </row>
    <row r="4" spans="1:2" ht="60" customHeight="1" x14ac:dyDescent="0.45">
      <c r="A4" s="3" t="s">
        <v>4</v>
      </c>
      <c r="B4" s="4" t="s">
        <v>5</v>
      </c>
    </row>
    <row r="5" spans="1:2" ht="45" customHeight="1" x14ac:dyDescent="0.45">
      <c r="A5" s="3" t="s">
        <v>6</v>
      </c>
      <c r="B5" s="4" t="s">
        <v>7</v>
      </c>
    </row>
    <row r="6" spans="1:2" ht="75" customHeight="1" x14ac:dyDescent="0.45">
      <c r="A6" s="3" t="s">
        <v>8</v>
      </c>
      <c r="B6" s="4" t="s">
        <v>9</v>
      </c>
    </row>
    <row r="7" spans="1:2" ht="30" customHeight="1" x14ac:dyDescent="0.45">
      <c r="A7" s="3" t="s">
        <v>10</v>
      </c>
      <c r="B7" s="4" t="s">
        <v>11</v>
      </c>
    </row>
    <row r="8" spans="1:2" ht="30" customHeight="1" x14ac:dyDescent="0.45">
      <c r="A8" s="3" t="s">
        <v>12</v>
      </c>
      <c r="B8" s="4" t="s">
        <v>300</v>
      </c>
    </row>
    <row r="9" spans="1:2" ht="45" customHeight="1" x14ac:dyDescent="0.45">
      <c r="A9" s="3" t="s">
        <v>13</v>
      </c>
      <c r="B9" s="4" t="s">
        <v>14</v>
      </c>
    </row>
    <row r="10" spans="1:2" ht="30" customHeight="1" x14ac:dyDescent="0.45">
      <c r="A10" s="3" t="s">
        <v>15</v>
      </c>
      <c r="B10" s="4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Normal="100" workbookViewId="0">
      <pane ySplit="5" topLeftCell="A6" activePane="bottomLeft" state="frozen"/>
      <selection pane="bottomLeft" activeCell="A6" sqref="A6:B15"/>
    </sheetView>
  </sheetViews>
  <sheetFormatPr defaultColWidth="8.6640625" defaultRowHeight="14.25" x14ac:dyDescent="0.45"/>
  <cols>
    <col min="1" max="1" width="8" customWidth="1"/>
    <col min="2" max="2" width="38" customWidth="1"/>
    <col min="3" max="3" width="46" customWidth="1"/>
    <col min="4" max="4" width="24" customWidth="1"/>
    <col min="5" max="5" width="15" customWidth="1"/>
    <col min="6" max="6" width="8" customWidth="1"/>
    <col min="7" max="7" width="34" customWidth="1"/>
    <col min="8" max="8" width="40" customWidth="1"/>
  </cols>
  <sheetData>
    <row r="1" spans="1:8" ht="19.5" customHeight="1" x14ac:dyDescent="0.55000000000000004">
      <c r="A1" s="2" t="s">
        <v>17</v>
      </c>
    </row>
    <row r="2" spans="1:8" x14ac:dyDescent="0.45">
      <c r="A2" s="1" t="s">
        <v>18</v>
      </c>
    </row>
    <row r="3" spans="1:8" ht="45" customHeight="1" x14ac:dyDescent="0.45">
      <c r="A3" s="21" t="s">
        <v>19</v>
      </c>
      <c r="B3" s="21"/>
      <c r="C3" s="21"/>
      <c r="D3" s="21"/>
      <c r="E3" s="21"/>
      <c r="F3" s="21"/>
      <c r="G3" s="21"/>
      <c r="H3" s="21"/>
    </row>
    <row r="5" spans="1:8" ht="30" customHeight="1" x14ac:dyDescent="0.4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</row>
    <row r="6" spans="1:8" ht="30" customHeight="1" x14ac:dyDescent="0.45">
      <c r="A6" s="24" t="s">
        <v>28</v>
      </c>
      <c r="B6" s="25" t="s">
        <v>29</v>
      </c>
      <c r="C6" s="7" t="s">
        <v>30</v>
      </c>
      <c r="D6" s="7" t="s">
        <v>31</v>
      </c>
      <c r="E6" s="6" t="s">
        <v>32</v>
      </c>
      <c r="F6" s="6" t="s">
        <v>33</v>
      </c>
      <c r="G6" s="7" t="s">
        <v>301</v>
      </c>
      <c r="H6" s="7" t="s">
        <v>34</v>
      </c>
    </row>
    <row r="7" spans="1:8" ht="30" customHeight="1" x14ac:dyDescent="0.45">
      <c r="A7" s="24" t="s">
        <v>35</v>
      </c>
      <c r="B7" s="25" t="s">
        <v>36</v>
      </c>
      <c r="C7" s="7" t="s">
        <v>37</v>
      </c>
      <c r="D7" s="7" t="s">
        <v>38</v>
      </c>
      <c r="E7" s="6" t="s">
        <v>32</v>
      </c>
      <c r="F7" s="6" t="s">
        <v>33</v>
      </c>
      <c r="G7" s="7" t="s">
        <v>302</v>
      </c>
      <c r="H7" s="7" t="s">
        <v>39</v>
      </c>
    </row>
    <row r="8" spans="1:8" ht="30" customHeight="1" x14ac:dyDescent="0.45">
      <c r="A8" s="24" t="s">
        <v>40</v>
      </c>
      <c r="B8" s="25" t="s">
        <v>41</v>
      </c>
      <c r="C8" s="7" t="s">
        <v>42</v>
      </c>
      <c r="D8" s="7" t="s">
        <v>38</v>
      </c>
      <c r="E8" s="6" t="s">
        <v>32</v>
      </c>
      <c r="F8" s="6" t="s">
        <v>33</v>
      </c>
      <c r="G8" s="7" t="s">
        <v>303</v>
      </c>
      <c r="H8" s="7" t="s">
        <v>43</v>
      </c>
    </row>
    <row r="9" spans="1:8" ht="30" customHeight="1" x14ac:dyDescent="0.45">
      <c r="A9" s="24" t="s">
        <v>44</v>
      </c>
      <c r="B9" s="25" t="s">
        <v>45</v>
      </c>
      <c r="C9" s="7" t="s">
        <v>46</v>
      </c>
      <c r="D9" s="7" t="s">
        <v>38</v>
      </c>
      <c r="E9" s="6" t="s">
        <v>32</v>
      </c>
      <c r="F9" s="6" t="s">
        <v>47</v>
      </c>
      <c r="G9" s="7" t="s">
        <v>304</v>
      </c>
      <c r="H9" s="7" t="s">
        <v>48</v>
      </c>
    </row>
    <row r="10" spans="1:8" ht="30" customHeight="1" x14ac:dyDescent="0.45">
      <c r="A10" s="24" t="s">
        <v>49</v>
      </c>
      <c r="B10" s="25" t="s">
        <v>50</v>
      </c>
      <c r="C10" s="7" t="s">
        <v>51</v>
      </c>
      <c r="D10" s="7" t="s">
        <v>52</v>
      </c>
      <c r="E10" s="6" t="s">
        <v>32</v>
      </c>
      <c r="F10" s="6" t="s">
        <v>47</v>
      </c>
      <c r="G10" s="7" t="s">
        <v>305</v>
      </c>
      <c r="H10" s="7" t="s">
        <v>53</v>
      </c>
    </row>
    <row r="11" spans="1:8" ht="30" customHeight="1" x14ac:dyDescent="0.45">
      <c r="A11" s="24" t="s">
        <v>54</v>
      </c>
      <c r="B11" s="25" t="s">
        <v>55</v>
      </c>
      <c r="C11" s="7" t="s">
        <v>56</v>
      </c>
      <c r="D11" s="7" t="s">
        <v>38</v>
      </c>
      <c r="E11" s="6" t="s">
        <v>32</v>
      </c>
      <c r="F11" s="6" t="s">
        <v>47</v>
      </c>
      <c r="G11" s="7" t="s">
        <v>306</v>
      </c>
      <c r="H11" s="7"/>
    </row>
    <row r="12" spans="1:8" ht="30" customHeight="1" x14ac:dyDescent="0.45">
      <c r="A12" s="24" t="s">
        <v>57</v>
      </c>
      <c r="B12" s="25" t="s">
        <v>58</v>
      </c>
      <c r="C12" s="7" t="s">
        <v>59</v>
      </c>
      <c r="D12" s="7" t="s">
        <v>60</v>
      </c>
      <c r="E12" s="6" t="s">
        <v>32</v>
      </c>
      <c r="F12" s="6" t="s">
        <v>61</v>
      </c>
      <c r="G12" s="7" t="s">
        <v>307</v>
      </c>
      <c r="H12" s="7" t="s">
        <v>62</v>
      </c>
    </row>
    <row r="13" spans="1:8" ht="30" customHeight="1" x14ac:dyDescent="0.45">
      <c r="A13" s="24" t="s">
        <v>63</v>
      </c>
      <c r="B13" s="25" t="s">
        <v>64</v>
      </c>
      <c r="C13" s="7" t="s">
        <v>65</v>
      </c>
      <c r="D13" s="7" t="s">
        <v>66</v>
      </c>
      <c r="E13" s="6" t="s">
        <v>32</v>
      </c>
      <c r="F13" s="6" t="s">
        <v>61</v>
      </c>
      <c r="G13" s="7" t="s">
        <v>308</v>
      </c>
      <c r="H13" s="7" t="s">
        <v>67</v>
      </c>
    </row>
    <row r="14" spans="1:8" ht="30" customHeight="1" x14ac:dyDescent="0.45">
      <c r="A14" s="24" t="s">
        <v>68</v>
      </c>
      <c r="B14" s="25" t="s">
        <v>69</v>
      </c>
      <c r="C14" s="7" t="s">
        <v>70</v>
      </c>
      <c r="D14" s="7" t="s">
        <v>38</v>
      </c>
      <c r="E14" s="6" t="s">
        <v>32</v>
      </c>
      <c r="F14" s="6" t="s">
        <v>71</v>
      </c>
      <c r="G14" s="7" t="s">
        <v>309</v>
      </c>
      <c r="H14" s="7" t="s">
        <v>72</v>
      </c>
    </row>
    <row r="15" spans="1:8" ht="30" customHeight="1" x14ac:dyDescent="0.45">
      <c r="A15" s="24" t="s">
        <v>73</v>
      </c>
      <c r="B15" s="25" t="s">
        <v>74</v>
      </c>
      <c r="C15" s="7" t="s">
        <v>75</v>
      </c>
      <c r="D15" s="7" t="s">
        <v>38</v>
      </c>
      <c r="E15" s="6" t="s">
        <v>32</v>
      </c>
      <c r="F15" s="6" t="s">
        <v>71</v>
      </c>
      <c r="G15" s="7" t="s">
        <v>310</v>
      </c>
      <c r="H15" s="7"/>
    </row>
  </sheetData>
  <mergeCells count="1">
    <mergeCell ref="A3:H3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Normal="100" workbookViewId="0">
      <pane ySplit="5" topLeftCell="A6" activePane="bottomLeft" state="frozen"/>
      <selection pane="bottomLeft" activeCell="A6" sqref="A6:B17"/>
    </sheetView>
  </sheetViews>
  <sheetFormatPr defaultColWidth="8.6640625" defaultRowHeight="14.25" x14ac:dyDescent="0.45"/>
  <cols>
    <col min="1" max="1" width="8" customWidth="1"/>
    <col min="2" max="2" width="38" customWidth="1"/>
    <col min="3" max="3" width="46" customWidth="1"/>
    <col min="4" max="4" width="24" customWidth="1"/>
    <col min="5" max="5" width="15" customWidth="1"/>
    <col min="6" max="6" width="8" customWidth="1"/>
    <col min="7" max="7" width="34" customWidth="1"/>
    <col min="8" max="8" width="40" customWidth="1"/>
  </cols>
  <sheetData>
    <row r="1" spans="1:8" ht="19.5" customHeight="1" x14ac:dyDescent="0.55000000000000004">
      <c r="A1" s="2" t="s">
        <v>76</v>
      </c>
    </row>
    <row r="2" spans="1:8" x14ac:dyDescent="0.45">
      <c r="A2" s="1" t="s">
        <v>77</v>
      </c>
    </row>
    <row r="3" spans="1:8" ht="45" customHeight="1" x14ac:dyDescent="0.45">
      <c r="A3" s="21" t="s">
        <v>78</v>
      </c>
      <c r="B3" s="21"/>
      <c r="C3" s="21"/>
      <c r="D3" s="21"/>
      <c r="E3" s="21"/>
      <c r="F3" s="21"/>
      <c r="G3" s="21"/>
      <c r="H3" s="21"/>
    </row>
    <row r="5" spans="1:8" ht="30" customHeight="1" x14ac:dyDescent="0.4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</row>
    <row r="6" spans="1:8" ht="30" customHeight="1" x14ac:dyDescent="0.45">
      <c r="A6" s="24" t="s">
        <v>79</v>
      </c>
      <c r="B6" s="25" t="s">
        <v>80</v>
      </c>
      <c r="C6" s="7" t="s">
        <v>81</v>
      </c>
      <c r="D6" s="7" t="s">
        <v>31</v>
      </c>
      <c r="E6" s="6" t="s">
        <v>32</v>
      </c>
      <c r="F6" s="6" t="s">
        <v>82</v>
      </c>
      <c r="G6" s="7" t="s">
        <v>311</v>
      </c>
      <c r="H6" s="7" t="s">
        <v>83</v>
      </c>
    </row>
    <row r="7" spans="1:8" ht="30" customHeight="1" x14ac:dyDescent="0.45">
      <c r="A7" s="24" t="s">
        <v>84</v>
      </c>
      <c r="B7" s="25" t="s">
        <v>85</v>
      </c>
      <c r="C7" s="7" t="s">
        <v>86</v>
      </c>
      <c r="D7" s="7" t="s">
        <v>66</v>
      </c>
      <c r="E7" s="6" t="s">
        <v>32</v>
      </c>
      <c r="F7" s="6" t="s">
        <v>82</v>
      </c>
      <c r="G7" s="7" t="s">
        <v>312</v>
      </c>
      <c r="H7" s="7" t="s">
        <v>87</v>
      </c>
    </row>
    <row r="8" spans="1:8" ht="30" customHeight="1" x14ac:dyDescent="0.45">
      <c r="A8" s="24" t="s">
        <v>88</v>
      </c>
      <c r="B8" s="25" t="s">
        <v>89</v>
      </c>
      <c r="C8" s="7" t="s">
        <v>90</v>
      </c>
      <c r="D8" s="7" t="s">
        <v>91</v>
      </c>
      <c r="E8" s="6" t="s">
        <v>32</v>
      </c>
      <c r="F8" s="6" t="s">
        <v>82</v>
      </c>
      <c r="G8" s="7" t="s">
        <v>313</v>
      </c>
      <c r="H8" s="7"/>
    </row>
    <row r="9" spans="1:8" ht="30" customHeight="1" x14ac:dyDescent="0.45">
      <c r="A9" s="24" t="s">
        <v>92</v>
      </c>
      <c r="B9" s="25" t="s">
        <v>93</v>
      </c>
      <c r="C9" s="7" t="s">
        <v>94</v>
      </c>
      <c r="D9" s="7" t="s">
        <v>38</v>
      </c>
      <c r="E9" s="6" t="s">
        <v>32</v>
      </c>
      <c r="F9" s="6" t="s">
        <v>95</v>
      </c>
      <c r="G9" s="7" t="s">
        <v>314</v>
      </c>
      <c r="H9" s="7"/>
    </row>
    <row r="10" spans="1:8" ht="30" customHeight="1" x14ac:dyDescent="0.45">
      <c r="A10" s="24" t="s">
        <v>96</v>
      </c>
      <c r="B10" s="25" t="s">
        <v>97</v>
      </c>
      <c r="C10" s="7" t="s">
        <v>98</v>
      </c>
      <c r="D10" s="7" t="s">
        <v>38</v>
      </c>
      <c r="E10" s="6" t="s">
        <v>32</v>
      </c>
      <c r="F10" s="6" t="s">
        <v>95</v>
      </c>
      <c r="G10" s="7" t="s">
        <v>315</v>
      </c>
      <c r="H10" s="7" t="s">
        <v>99</v>
      </c>
    </row>
    <row r="11" spans="1:8" ht="30" customHeight="1" x14ac:dyDescent="0.45">
      <c r="A11" s="24" t="s">
        <v>100</v>
      </c>
      <c r="B11" s="25" t="s">
        <v>101</v>
      </c>
      <c r="C11" s="7" t="s">
        <v>102</v>
      </c>
      <c r="D11" s="7" t="s">
        <v>103</v>
      </c>
      <c r="E11" s="6" t="s">
        <v>32</v>
      </c>
      <c r="F11" s="6" t="s">
        <v>95</v>
      </c>
      <c r="G11" s="7" t="s">
        <v>316</v>
      </c>
      <c r="H11" s="7" t="s">
        <v>104</v>
      </c>
    </row>
    <row r="12" spans="1:8" ht="30" customHeight="1" x14ac:dyDescent="0.45">
      <c r="A12" s="24" t="s">
        <v>105</v>
      </c>
      <c r="B12" s="25" t="s">
        <v>106</v>
      </c>
      <c r="C12" s="7" t="s">
        <v>107</v>
      </c>
      <c r="D12" s="7" t="s">
        <v>60</v>
      </c>
      <c r="E12" s="6" t="s">
        <v>32</v>
      </c>
      <c r="F12" s="6" t="s">
        <v>108</v>
      </c>
      <c r="G12" s="7" t="s">
        <v>317</v>
      </c>
      <c r="H12" s="7" t="s">
        <v>109</v>
      </c>
    </row>
    <row r="13" spans="1:8" ht="30" customHeight="1" x14ac:dyDescent="0.45">
      <c r="A13" s="24" t="s">
        <v>110</v>
      </c>
      <c r="B13" s="25" t="s">
        <v>111</v>
      </c>
      <c r="C13" s="7" t="s">
        <v>112</v>
      </c>
      <c r="D13" s="7" t="s">
        <v>38</v>
      </c>
      <c r="E13" s="6" t="s">
        <v>32</v>
      </c>
      <c r="F13" s="6" t="s">
        <v>108</v>
      </c>
      <c r="G13" s="7" t="s">
        <v>318</v>
      </c>
      <c r="H13" s="7"/>
    </row>
    <row r="14" spans="1:8" ht="30" customHeight="1" x14ac:dyDescent="0.45">
      <c r="A14" s="24" t="s">
        <v>113</v>
      </c>
      <c r="B14" s="25" t="s">
        <v>114</v>
      </c>
      <c r="C14" s="7" t="s">
        <v>115</v>
      </c>
      <c r="D14" s="7" t="s">
        <v>52</v>
      </c>
      <c r="E14" s="6" t="s">
        <v>32</v>
      </c>
      <c r="F14" s="6" t="s">
        <v>116</v>
      </c>
      <c r="G14" s="7" t="s">
        <v>319</v>
      </c>
      <c r="H14" s="7" t="s">
        <v>117</v>
      </c>
    </row>
    <row r="15" spans="1:8" ht="30" customHeight="1" x14ac:dyDescent="0.45">
      <c r="A15" s="24" t="s">
        <v>118</v>
      </c>
      <c r="B15" s="25" t="s">
        <v>119</v>
      </c>
      <c r="C15" s="7" t="s">
        <v>120</v>
      </c>
      <c r="D15" s="7" t="s">
        <v>52</v>
      </c>
      <c r="E15" s="6" t="s">
        <v>32</v>
      </c>
      <c r="F15" s="6" t="s">
        <v>116</v>
      </c>
      <c r="G15" s="7" t="s">
        <v>320</v>
      </c>
      <c r="H15" s="7"/>
    </row>
    <row r="16" spans="1:8" ht="30" customHeight="1" x14ac:dyDescent="0.45">
      <c r="A16" s="24" t="s">
        <v>121</v>
      </c>
      <c r="B16" s="25" t="s">
        <v>122</v>
      </c>
      <c r="C16" s="7" t="s">
        <v>123</v>
      </c>
      <c r="D16" s="7" t="s">
        <v>66</v>
      </c>
      <c r="E16" s="6" t="s">
        <v>32</v>
      </c>
      <c r="F16" s="6" t="s">
        <v>124</v>
      </c>
      <c r="G16" s="7" t="s">
        <v>321</v>
      </c>
      <c r="H16" s="7"/>
    </row>
    <row r="17" spans="1:8" ht="30" customHeight="1" x14ac:dyDescent="0.45">
      <c r="A17" s="24" t="s">
        <v>125</v>
      </c>
      <c r="B17" s="25" t="s">
        <v>126</v>
      </c>
      <c r="C17" s="7" t="s">
        <v>127</v>
      </c>
      <c r="D17" s="7" t="s">
        <v>128</v>
      </c>
      <c r="E17" s="6" t="s">
        <v>32</v>
      </c>
      <c r="F17" s="6" t="s">
        <v>124</v>
      </c>
      <c r="G17" s="7" t="s">
        <v>322</v>
      </c>
      <c r="H17" s="7" t="s">
        <v>129</v>
      </c>
    </row>
  </sheetData>
  <mergeCells count="1">
    <mergeCell ref="A3:H3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tabSelected="1" zoomScaleNormal="100" workbookViewId="0">
      <pane ySplit="5" topLeftCell="A6" activePane="bottomLeft" state="frozen"/>
      <selection pane="bottomLeft" activeCell="A6" sqref="A6:B20"/>
    </sheetView>
  </sheetViews>
  <sheetFormatPr defaultColWidth="8.6640625" defaultRowHeight="14.25" x14ac:dyDescent="0.45"/>
  <cols>
    <col min="1" max="1" width="8" customWidth="1"/>
    <col min="2" max="2" width="38" customWidth="1"/>
    <col min="3" max="3" width="46" customWidth="1"/>
    <col min="4" max="4" width="24" customWidth="1"/>
    <col min="5" max="5" width="15" customWidth="1"/>
    <col min="6" max="6" width="8" customWidth="1"/>
    <col min="7" max="7" width="34" customWidth="1"/>
    <col min="8" max="8" width="40" customWidth="1"/>
  </cols>
  <sheetData>
    <row r="1" spans="1:8" ht="19.5" customHeight="1" x14ac:dyDescent="0.55000000000000004">
      <c r="A1" s="2" t="s">
        <v>130</v>
      </c>
    </row>
    <row r="2" spans="1:8" x14ac:dyDescent="0.45">
      <c r="A2" s="1" t="s">
        <v>131</v>
      </c>
    </row>
    <row r="3" spans="1:8" ht="45" customHeight="1" x14ac:dyDescent="0.45">
      <c r="A3" s="21" t="s">
        <v>132</v>
      </c>
      <c r="B3" s="21"/>
      <c r="C3" s="21"/>
      <c r="D3" s="21"/>
      <c r="E3" s="21"/>
      <c r="F3" s="21"/>
      <c r="G3" s="21"/>
      <c r="H3" s="21"/>
    </row>
    <row r="5" spans="1:8" ht="30" customHeight="1" x14ac:dyDescent="0.4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</row>
    <row r="6" spans="1:8" ht="30" customHeight="1" x14ac:dyDescent="0.45">
      <c r="A6" s="24" t="s">
        <v>133</v>
      </c>
      <c r="B6" s="25" t="s">
        <v>134</v>
      </c>
      <c r="C6" s="7" t="s">
        <v>135</v>
      </c>
      <c r="D6" s="7" t="s">
        <v>66</v>
      </c>
      <c r="E6" s="6" t="s">
        <v>32</v>
      </c>
      <c r="F6" s="6" t="s">
        <v>136</v>
      </c>
      <c r="G6" s="7" t="s">
        <v>323</v>
      </c>
      <c r="H6" s="7" t="s">
        <v>137</v>
      </c>
    </row>
    <row r="7" spans="1:8" ht="30" customHeight="1" x14ac:dyDescent="0.45">
      <c r="A7" s="24" t="s">
        <v>138</v>
      </c>
      <c r="B7" s="25" t="s">
        <v>139</v>
      </c>
      <c r="C7" s="7" t="s">
        <v>140</v>
      </c>
      <c r="D7" s="7" t="s">
        <v>31</v>
      </c>
      <c r="E7" s="6" t="s">
        <v>32</v>
      </c>
      <c r="F7" s="6" t="s">
        <v>136</v>
      </c>
      <c r="G7" s="7" t="s">
        <v>324</v>
      </c>
      <c r="H7" s="7"/>
    </row>
    <row r="8" spans="1:8" ht="30" customHeight="1" x14ac:dyDescent="0.45">
      <c r="A8" s="24" t="s">
        <v>141</v>
      </c>
      <c r="B8" s="25" t="s">
        <v>142</v>
      </c>
      <c r="C8" s="7" t="s">
        <v>143</v>
      </c>
      <c r="D8" s="7" t="s">
        <v>144</v>
      </c>
      <c r="E8" s="6" t="s">
        <v>32</v>
      </c>
      <c r="F8" s="6" t="s">
        <v>145</v>
      </c>
      <c r="G8" s="7" t="s">
        <v>325</v>
      </c>
      <c r="H8" s="7"/>
    </row>
    <row r="9" spans="1:8" ht="30" customHeight="1" x14ac:dyDescent="0.45">
      <c r="A9" s="24" t="s">
        <v>146</v>
      </c>
      <c r="B9" s="25" t="s">
        <v>147</v>
      </c>
      <c r="C9" s="7" t="s">
        <v>148</v>
      </c>
      <c r="D9" s="7" t="s">
        <v>144</v>
      </c>
      <c r="E9" s="6" t="s">
        <v>32</v>
      </c>
      <c r="F9" s="6" t="s">
        <v>145</v>
      </c>
      <c r="G9" s="7" t="s">
        <v>326</v>
      </c>
      <c r="H9" s="7" t="s">
        <v>149</v>
      </c>
    </row>
    <row r="10" spans="1:8" ht="30" customHeight="1" x14ac:dyDescent="0.45">
      <c r="A10" s="24" t="s">
        <v>150</v>
      </c>
      <c r="B10" s="25" t="s">
        <v>151</v>
      </c>
      <c r="C10" s="7" t="s">
        <v>152</v>
      </c>
      <c r="D10" s="7" t="s">
        <v>144</v>
      </c>
      <c r="E10" s="6" t="s">
        <v>32</v>
      </c>
      <c r="F10" s="6" t="s">
        <v>145</v>
      </c>
      <c r="G10" s="7" t="s">
        <v>327</v>
      </c>
      <c r="H10" s="7" t="s">
        <v>153</v>
      </c>
    </row>
    <row r="11" spans="1:8" ht="30" customHeight="1" x14ac:dyDescent="0.45">
      <c r="A11" s="24" t="s">
        <v>154</v>
      </c>
      <c r="B11" s="25" t="s">
        <v>155</v>
      </c>
      <c r="C11" s="7" t="s">
        <v>156</v>
      </c>
      <c r="D11" s="7" t="s">
        <v>60</v>
      </c>
      <c r="E11" s="6" t="s">
        <v>32</v>
      </c>
      <c r="F11" s="6" t="s">
        <v>157</v>
      </c>
      <c r="G11" s="7" t="s">
        <v>328</v>
      </c>
      <c r="H11" s="7" t="s">
        <v>158</v>
      </c>
    </row>
    <row r="12" spans="1:8" ht="30" customHeight="1" x14ac:dyDescent="0.45">
      <c r="A12" s="24" t="s">
        <v>159</v>
      </c>
      <c r="B12" s="25" t="s">
        <v>160</v>
      </c>
      <c r="C12" s="7" t="s">
        <v>161</v>
      </c>
      <c r="D12" s="7" t="s">
        <v>60</v>
      </c>
      <c r="E12" s="6" t="s">
        <v>32</v>
      </c>
      <c r="F12" s="6" t="s">
        <v>157</v>
      </c>
      <c r="G12" s="7" t="s">
        <v>329</v>
      </c>
      <c r="H12" s="7"/>
    </row>
    <row r="13" spans="1:8" ht="30" customHeight="1" x14ac:dyDescent="0.45">
      <c r="A13" s="24" t="s">
        <v>162</v>
      </c>
      <c r="B13" s="25" t="s">
        <v>163</v>
      </c>
      <c r="C13" s="7" t="s">
        <v>164</v>
      </c>
      <c r="D13" s="7" t="s">
        <v>66</v>
      </c>
      <c r="E13" s="6" t="s">
        <v>32</v>
      </c>
      <c r="F13" s="6" t="s">
        <v>165</v>
      </c>
      <c r="G13" s="7" t="s">
        <v>330</v>
      </c>
      <c r="H13" s="7"/>
    </row>
    <row r="14" spans="1:8" ht="30" customHeight="1" x14ac:dyDescent="0.45">
      <c r="A14" s="24" t="s">
        <v>166</v>
      </c>
      <c r="B14" s="25" t="s">
        <v>167</v>
      </c>
      <c r="C14" s="7" t="s">
        <v>168</v>
      </c>
      <c r="D14" s="7" t="s">
        <v>66</v>
      </c>
      <c r="E14" s="6" t="s">
        <v>32</v>
      </c>
      <c r="F14" s="6" t="s">
        <v>165</v>
      </c>
      <c r="G14" s="7" t="s">
        <v>331</v>
      </c>
      <c r="H14" s="7"/>
    </row>
    <row r="15" spans="1:8" ht="30" customHeight="1" x14ac:dyDescent="0.45">
      <c r="A15" s="24" t="s">
        <v>169</v>
      </c>
      <c r="B15" s="25" t="s">
        <v>170</v>
      </c>
      <c r="C15" s="7" t="s">
        <v>171</v>
      </c>
      <c r="D15" s="7" t="s">
        <v>128</v>
      </c>
      <c r="E15" s="6" t="s">
        <v>32</v>
      </c>
      <c r="F15" s="6" t="s">
        <v>165</v>
      </c>
      <c r="G15" s="7" t="s">
        <v>332</v>
      </c>
      <c r="H15" s="7"/>
    </row>
    <row r="16" spans="1:8" ht="30" customHeight="1" x14ac:dyDescent="0.45">
      <c r="A16" s="24" t="s">
        <v>172</v>
      </c>
      <c r="B16" s="25" t="s">
        <v>173</v>
      </c>
      <c r="C16" s="7" t="s">
        <v>174</v>
      </c>
      <c r="D16" s="7" t="s">
        <v>52</v>
      </c>
      <c r="E16" s="6" t="s">
        <v>32</v>
      </c>
      <c r="F16" s="6" t="s">
        <v>175</v>
      </c>
      <c r="G16" s="7" t="s">
        <v>333</v>
      </c>
      <c r="H16" s="7" t="s">
        <v>176</v>
      </c>
    </row>
    <row r="17" spans="1:8" ht="30" customHeight="1" x14ac:dyDescent="0.45">
      <c r="A17" s="24" t="s">
        <v>177</v>
      </c>
      <c r="B17" s="25" t="s">
        <v>178</v>
      </c>
      <c r="C17" s="7" t="s">
        <v>179</v>
      </c>
      <c r="D17" s="7" t="s">
        <v>52</v>
      </c>
      <c r="E17" s="6" t="s">
        <v>32</v>
      </c>
      <c r="F17" s="6" t="s">
        <v>175</v>
      </c>
      <c r="G17" s="7" t="s">
        <v>334</v>
      </c>
      <c r="H17" s="7"/>
    </row>
    <row r="18" spans="1:8" ht="30" customHeight="1" x14ac:dyDescent="0.45">
      <c r="A18" s="24" t="s">
        <v>180</v>
      </c>
      <c r="B18" s="25" t="s">
        <v>181</v>
      </c>
      <c r="C18" s="7" t="s">
        <v>182</v>
      </c>
      <c r="D18" s="7" t="s">
        <v>183</v>
      </c>
      <c r="E18" s="6" t="s">
        <v>32</v>
      </c>
      <c r="F18" s="6" t="s">
        <v>184</v>
      </c>
      <c r="G18" s="7" t="s">
        <v>335</v>
      </c>
      <c r="H18" s="7" t="s">
        <v>185</v>
      </c>
    </row>
    <row r="19" spans="1:8" ht="30" customHeight="1" x14ac:dyDescent="0.45">
      <c r="A19" s="24" t="s">
        <v>186</v>
      </c>
      <c r="B19" s="25" t="s">
        <v>187</v>
      </c>
      <c r="C19" s="7" t="s">
        <v>188</v>
      </c>
      <c r="D19" s="7" t="s">
        <v>189</v>
      </c>
      <c r="E19" s="6" t="s">
        <v>32</v>
      </c>
      <c r="F19" s="6" t="s">
        <v>184</v>
      </c>
      <c r="G19" s="7" t="s">
        <v>336</v>
      </c>
      <c r="H19" s="7"/>
    </row>
    <row r="20" spans="1:8" ht="30" customHeight="1" x14ac:dyDescent="0.45">
      <c r="A20" s="24" t="s">
        <v>190</v>
      </c>
      <c r="B20" s="25" t="s">
        <v>191</v>
      </c>
      <c r="C20" s="7" t="s">
        <v>192</v>
      </c>
      <c r="D20" s="7" t="s">
        <v>91</v>
      </c>
      <c r="E20" s="6" t="s">
        <v>32</v>
      </c>
      <c r="F20" s="6" t="s">
        <v>184</v>
      </c>
      <c r="G20" s="7" t="s">
        <v>337</v>
      </c>
      <c r="H20" s="7" t="s">
        <v>193</v>
      </c>
    </row>
  </sheetData>
  <mergeCells count="1">
    <mergeCell ref="A3:H3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9" customWidth="1"/>
    <col min="2" max="2" width="26" customWidth="1"/>
    <col min="3" max="3" width="9" customWidth="1"/>
    <col min="4" max="4" width="40" customWidth="1"/>
    <col min="5" max="5" width="8" customWidth="1"/>
    <col min="6" max="6" width="26" customWidth="1"/>
    <col min="7" max="7" width="8" customWidth="1"/>
  </cols>
  <sheetData>
    <row r="1" spans="1:7" ht="18" x14ac:dyDescent="0.55000000000000004">
      <c r="A1" s="2" t="s">
        <v>194</v>
      </c>
    </row>
    <row r="2" spans="1:7" x14ac:dyDescent="0.45">
      <c r="A2" s="1" t="s">
        <v>195</v>
      </c>
    </row>
    <row r="4" spans="1:7" ht="30" customHeight="1" x14ac:dyDescent="0.45">
      <c r="A4" s="5" t="s">
        <v>196</v>
      </c>
      <c r="B4" s="5" t="s">
        <v>197</v>
      </c>
      <c r="C4" s="5" t="s">
        <v>198</v>
      </c>
      <c r="D4" s="5" t="s">
        <v>199</v>
      </c>
      <c r="E4" s="5" t="s">
        <v>25</v>
      </c>
      <c r="F4" s="5" t="s">
        <v>200</v>
      </c>
      <c r="G4" s="5" t="s">
        <v>201</v>
      </c>
    </row>
    <row r="5" spans="1:7" ht="19.5" customHeight="1" x14ac:dyDescent="0.45">
      <c r="A5" s="8" t="s">
        <v>202</v>
      </c>
      <c r="B5" s="8" t="s">
        <v>17</v>
      </c>
      <c r="C5" s="9"/>
      <c r="D5" s="9"/>
      <c r="E5" s="9"/>
      <c r="F5" s="9"/>
      <c r="G5" s="9"/>
    </row>
    <row r="6" spans="1:7" ht="28.5" x14ac:dyDescent="0.45">
      <c r="A6" s="7"/>
      <c r="B6" s="7"/>
      <c r="C6" s="6" t="s">
        <v>73</v>
      </c>
      <c r="D6" s="7" t="s">
        <v>203</v>
      </c>
      <c r="E6" s="6" t="s">
        <v>33</v>
      </c>
      <c r="F6" s="7" t="s">
        <v>38</v>
      </c>
      <c r="G6" s="6">
        <v>3</v>
      </c>
    </row>
    <row r="7" spans="1:7" ht="28.5" x14ac:dyDescent="0.45">
      <c r="A7" s="7"/>
      <c r="B7" s="7"/>
      <c r="C7" s="6" t="s">
        <v>204</v>
      </c>
      <c r="D7" s="7" t="s">
        <v>205</v>
      </c>
      <c r="E7" s="6" t="s">
        <v>47</v>
      </c>
      <c r="F7" s="7" t="s">
        <v>38</v>
      </c>
      <c r="G7" s="6">
        <v>3</v>
      </c>
    </row>
    <row r="8" spans="1:7" x14ac:dyDescent="0.45">
      <c r="A8" s="7"/>
      <c r="B8" s="7"/>
      <c r="C8" s="6" t="s">
        <v>206</v>
      </c>
      <c r="D8" s="7" t="s">
        <v>207</v>
      </c>
      <c r="E8" s="6" t="s">
        <v>61</v>
      </c>
      <c r="F8" s="7" t="s">
        <v>60</v>
      </c>
      <c r="G8" s="6">
        <v>2</v>
      </c>
    </row>
    <row r="9" spans="1:7" ht="28.5" x14ac:dyDescent="0.45">
      <c r="A9" s="7"/>
      <c r="B9" s="7"/>
      <c r="C9" s="6" t="s">
        <v>208</v>
      </c>
      <c r="D9" s="7" t="s">
        <v>209</v>
      </c>
      <c r="E9" s="6" t="s">
        <v>71</v>
      </c>
      <c r="F9" s="7" t="s">
        <v>38</v>
      </c>
      <c r="G9" s="6">
        <v>2</v>
      </c>
    </row>
    <row r="10" spans="1:7" ht="19.5" customHeight="1" x14ac:dyDescent="0.45">
      <c r="A10" s="8" t="s">
        <v>210</v>
      </c>
      <c r="B10" s="8" t="s">
        <v>76</v>
      </c>
      <c r="C10" s="9"/>
      <c r="D10" s="9"/>
      <c r="E10" s="9"/>
      <c r="F10" s="9"/>
      <c r="G10" s="9"/>
    </row>
    <row r="11" spans="1:7" x14ac:dyDescent="0.45">
      <c r="A11" s="7"/>
      <c r="B11" s="7"/>
      <c r="C11" s="6" t="s">
        <v>118</v>
      </c>
      <c r="D11" s="7" t="s">
        <v>211</v>
      </c>
      <c r="E11" s="6" t="s">
        <v>82</v>
      </c>
      <c r="F11" s="7" t="s">
        <v>31</v>
      </c>
      <c r="G11" s="6">
        <v>3</v>
      </c>
    </row>
    <row r="12" spans="1:7" ht="28.5" x14ac:dyDescent="0.45">
      <c r="A12" s="7"/>
      <c r="B12" s="7"/>
      <c r="C12" s="6" t="s">
        <v>212</v>
      </c>
      <c r="D12" s="7" t="s">
        <v>213</v>
      </c>
      <c r="E12" s="6" t="s">
        <v>95</v>
      </c>
      <c r="F12" s="7" t="s">
        <v>38</v>
      </c>
      <c r="G12" s="6">
        <v>3</v>
      </c>
    </row>
    <row r="13" spans="1:7" x14ac:dyDescent="0.45">
      <c r="A13" s="7"/>
      <c r="B13" s="7"/>
      <c r="C13" s="6" t="s">
        <v>214</v>
      </c>
      <c r="D13" s="7" t="s">
        <v>215</v>
      </c>
      <c r="E13" s="6" t="s">
        <v>108</v>
      </c>
      <c r="F13" s="7" t="s">
        <v>60</v>
      </c>
      <c r="G13" s="6">
        <v>2</v>
      </c>
    </row>
    <row r="14" spans="1:7" x14ac:dyDescent="0.45">
      <c r="A14" s="7"/>
      <c r="B14" s="7"/>
      <c r="C14" s="6" t="s">
        <v>216</v>
      </c>
      <c r="D14" s="7" t="s">
        <v>217</v>
      </c>
      <c r="E14" s="6" t="s">
        <v>116</v>
      </c>
      <c r="F14" s="7" t="s">
        <v>218</v>
      </c>
      <c r="G14" s="6">
        <v>2</v>
      </c>
    </row>
    <row r="15" spans="1:7" x14ac:dyDescent="0.45">
      <c r="A15" s="7"/>
      <c r="B15" s="7"/>
      <c r="C15" s="6" t="s">
        <v>219</v>
      </c>
      <c r="D15" s="7" t="s">
        <v>220</v>
      </c>
      <c r="E15" s="6" t="s">
        <v>124</v>
      </c>
      <c r="F15" s="7" t="s">
        <v>66</v>
      </c>
      <c r="G15" s="6">
        <v>2</v>
      </c>
    </row>
    <row r="16" spans="1:7" ht="19.5" customHeight="1" x14ac:dyDescent="0.45">
      <c r="A16" s="8" t="s">
        <v>221</v>
      </c>
      <c r="B16" s="8" t="s">
        <v>130</v>
      </c>
      <c r="C16" s="9"/>
      <c r="D16" s="9"/>
      <c r="E16" s="9"/>
      <c r="F16" s="9"/>
      <c r="G16" s="9"/>
    </row>
    <row r="17" spans="1:7" x14ac:dyDescent="0.45">
      <c r="A17" s="7"/>
      <c r="B17" s="7"/>
      <c r="C17" s="6" t="s">
        <v>169</v>
      </c>
      <c r="D17" s="7" t="s">
        <v>222</v>
      </c>
      <c r="E17" s="6" t="s">
        <v>136</v>
      </c>
      <c r="F17" s="7" t="s">
        <v>66</v>
      </c>
      <c r="G17" s="6">
        <v>2</v>
      </c>
    </row>
    <row r="18" spans="1:7" x14ac:dyDescent="0.45">
      <c r="A18" s="7"/>
      <c r="B18" s="7"/>
      <c r="C18" s="6" t="s">
        <v>223</v>
      </c>
      <c r="D18" s="7" t="s">
        <v>224</v>
      </c>
      <c r="E18" s="6" t="s">
        <v>145</v>
      </c>
      <c r="F18" s="7" t="s">
        <v>144</v>
      </c>
      <c r="G18" s="6">
        <v>3</v>
      </c>
    </row>
    <row r="19" spans="1:7" x14ac:dyDescent="0.45">
      <c r="A19" s="7"/>
      <c r="B19" s="7"/>
      <c r="C19" s="6" t="s">
        <v>225</v>
      </c>
      <c r="D19" s="7" t="s">
        <v>226</v>
      </c>
      <c r="E19" s="6" t="s">
        <v>157</v>
      </c>
      <c r="F19" s="7" t="s">
        <v>60</v>
      </c>
      <c r="G19" s="6">
        <v>2</v>
      </c>
    </row>
    <row r="20" spans="1:7" x14ac:dyDescent="0.45">
      <c r="A20" s="7"/>
      <c r="B20" s="7"/>
      <c r="C20" s="6" t="s">
        <v>227</v>
      </c>
      <c r="D20" s="7" t="s">
        <v>228</v>
      </c>
      <c r="E20" s="6" t="s">
        <v>165</v>
      </c>
      <c r="F20" s="7" t="s">
        <v>66</v>
      </c>
      <c r="G20" s="6">
        <v>3</v>
      </c>
    </row>
    <row r="21" spans="1:7" x14ac:dyDescent="0.45">
      <c r="A21" s="7"/>
      <c r="B21" s="7"/>
      <c r="C21" s="6" t="s">
        <v>229</v>
      </c>
      <c r="D21" s="7" t="s">
        <v>230</v>
      </c>
      <c r="E21" s="6" t="s">
        <v>175</v>
      </c>
      <c r="F21" s="7" t="s">
        <v>218</v>
      </c>
      <c r="G21" s="6">
        <v>2</v>
      </c>
    </row>
    <row r="22" spans="1:7" x14ac:dyDescent="0.45">
      <c r="A22" s="7"/>
      <c r="B22" s="7"/>
      <c r="C22" s="6" t="s">
        <v>231</v>
      </c>
      <c r="D22" s="7" t="s">
        <v>232</v>
      </c>
      <c r="E22" s="6" t="s">
        <v>184</v>
      </c>
      <c r="F22" s="7" t="s">
        <v>218</v>
      </c>
      <c r="G22" s="6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25" x14ac:dyDescent="0.45"/>
  <cols>
    <col min="1" max="1" width="8" customWidth="1"/>
    <col min="2" max="2" width="22" customWidth="1"/>
    <col min="3" max="3" width="40" customWidth="1"/>
    <col min="4" max="4" width="50" customWidth="1"/>
    <col min="5" max="5" width="24" customWidth="1"/>
    <col min="6" max="6" width="14" customWidth="1"/>
    <col min="7" max="7" width="11" customWidth="1"/>
    <col min="8" max="8" width="15" customWidth="1"/>
    <col min="9" max="9" width="12" customWidth="1"/>
    <col min="10" max="10" width="22" customWidth="1"/>
    <col min="11" max="11" width="10" customWidth="1"/>
    <col min="12" max="12" width="40" customWidth="1"/>
    <col min="13" max="13" width="22" customWidth="1"/>
    <col min="14" max="14" width="34" customWidth="1"/>
    <col min="15" max="15" width="8" customWidth="1"/>
    <col min="16" max="16" width="36" customWidth="1"/>
  </cols>
  <sheetData>
    <row r="1" spans="1:16" ht="18" x14ac:dyDescent="0.55000000000000004">
      <c r="A1" s="22" t="s">
        <v>338</v>
      </c>
      <c r="B1" s="22"/>
      <c r="C1" s="22"/>
      <c r="D1" s="22"/>
      <c r="E1" s="22"/>
    </row>
    <row r="3" spans="1:16" ht="30" customHeight="1" x14ac:dyDescent="0.45">
      <c r="A3" s="10" t="s">
        <v>20</v>
      </c>
      <c r="B3" s="10" t="s">
        <v>233</v>
      </c>
      <c r="C3" s="10" t="s">
        <v>21</v>
      </c>
      <c r="D3" s="10" t="s">
        <v>22</v>
      </c>
      <c r="E3" s="10" t="s">
        <v>23</v>
      </c>
      <c r="F3" s="10" t="s">
        <v>234</v>
      </c>
      <c r="G3" s="10" t="s">
        <v>235</v>
      </c>
      <c r="H3" s="10" t="s">
        <v>24</v>
      </c>
      <c r="I3" s="10" t="s">
        <v>236</v>
      </c>
      <c r="J3" s="10" t="s">
        <v>237</v>
      </c>
      <c r="K3" s="10" t="s">
        <v>238</v>
      </c>
      <c r="L3" s="10" t="s">
        <v>27</v>
      </c>
      <c r="M3" s="10" t="s">
        <v>239</v>
      </c>
      <c r="N3" s="10" t="s">
        <v>199</v>
      </c>
      <c r="O3" s="10" t="s">
        <v>25</v>
      </c>
      <c r="P3" s="10" t="s">
        <v>26</v>
      </c>
    </row>
    <row r="4" spans="1:16" ht="30" customHeight="1" x14ac:dyDescent="0.45">
      <c r="A4" s="6" t="s">
        <v>28</v>
      </c>
      <c r="B4" s="7" t="s">
        <v>17</v>
      </c>
      <c r="C4" s="7" t="s">
        <v>29</v>
      </c>
      <c r="D4" s="7" t="s">
        <v>30</v>
      </c>
      <c r="E4" s="7" t="s">
        <v>31</v>
      </c>
      <c r="F4" s="6" t="s">
        <v>240</v>
      </c>
      <c r="G4" s="6"/>
      <c r="H4" s="6" t="s">
        <v>32</v>
      </c>
      <c r="I4" s="7"/>
      <c r="J4" s="7"/>
      <c r="K4" s="6"/>
      <c r="L4" s="7" t="s">
        <v>34</v>
      </c>
      <c r="M4" s="7" t="s">
        <v>17</v>
      </c>
      <c r="N4" s="7" t="s">
        <v>241</v>
      </c>
      <c r="O4" s="6" t="s">
        <v>33</v>
      </c>
      <c r="P4" s="7" t="s">
        <v>301</v>
      </c>
    </row>
    <row r="5" spans="1:16" ht="30" customHeight="1" x14ac:dyDescent="0.45">
      <c r="A5" s="6" t="s">
        <v>35</v>
      </c>
      <c r="B5" s="7" t="s">
        <v>17</v>
      </c>
      <c r="C5" s="7" t="s">
        <v>36</v>
      </c>
      <c r="D5" s="7" t="s">
        <v>37</v>
      </c>
      <c r="E5" s="7" t="s">
        <v>38</v>
      </c>
      <c r="F5" s="6" t="s">
        <v>240</v>
      </c>
      <c r="G5" s="6"/>
      <c r="H5" s="6" t="s">
        <v>32</v>
      </c>
      <c r="I5" s="7"/>
      <c r="J5" s="7"/>
      <c r="K5" s="6"/>
      <c r="L5" s="7" t="s">
        <v>39</v>
      </c>
      <c r="M5" s="7" t="s">
        <v>17</v>
      </c>
      <c r="N5" s="7" t="s">
        <v>241</v>
      </c>
      <c r="O5" s="6" t="s">
        <v>33</v>
      </c>
      <c r="P5" s="7" t="s">
        <v>302</v>
      </c>
    </row>
    <row r="6" spans="1:16" ht="30" customHeight="1" x14ac:dyDescent="0.45">
      <c r="A6" s="6" t="s">
        <v>40</v>
      </c>
      <c r="B6" s="7" t="s">
        <v>17</v>
      </c>
      <c r="C6" s="7" t="s">
        <v>41</v>
      </c>
      <c r="D6" s="7" t="s">
        <v>42</v>
      </c>
      <c r="E6" s="7" t="s">
        <v>38</v>
      </c>
      <c r="F6" s="6" t="s">
        <v>240</v>
      </c>
      <c r="G6" s="6"/>
      <c r="H6" s="6" t="s">
        <v>32</v>
      </c>
      <c r="I6" s="7"/>
      <c r="J6" s="7"/>
      <c r="K6" s="6"/>
      <c r="L6" s="7" t="s">
        <v>43</v>
      </c>
      <c r="M6" s="7" t="s">
        <v>17</v>
      </c>
      <c r="N6" s="7" t="s">
        <v>241</v>
      </c>
      <c r="O6" s="6" t="s">
        <v>33</v>
      </c>
      <c r="P6" s="7" t="s">
        <v>303</v>
      </c>
    </row>
    <row r="7" spans="1:16" ht="30" customHeight="1" x14ac:dyDescent="0.45">
      <c r="A7" s="6" t="s">
        <v>44</v>
      </c>
      <c r="B7" s="7" t="s">
        <v>17</v>
      </c>
      <c r="C7" s="7" t="s">
        <v>45</v>
      </c>
      <c r="D7" s="7" t="s">
        <v>46</v>
      </c>
      <c r="E7" s="7" t="s">
        <v>38</v>
      </c>
      <c r="F7" s="6" t="s">
        <v>240</v>
      </c>
      <c r="G7" s="6"/>
      <c r="H7" s="6" t="s">
        <v>32</v>
      </c>
      <c r="I7" s="7"/>
      <c r="J7" s="7"/>
      <c r="K7" s="6"/>
      <c r="L7" s="7" t="s">
        <v>48</v>
      </c>
      <c r="M7" s="7" t="s">
        <v>17</v>
      </c>
      <c r="N7" s="7" t="s">
        <v>242</v>
      </c>
      <c r="O7" s="6" t="s">
        <v>47</v>
      </c>
      <c r="P7" s="7" t="s">
        <v>304</v>
      </c>
    </row>
    <row r="8" spans="1:16" ht="30" customHeight="1" x14ac:dyDescent="0.45">
      <c r="A8" s="6" t="s">
        <v>49</v>
      </c>
      <c r="B8" s="7" t="s">
        <v>17</v>
      </c>
      <c r="C8" s="7" t="s">
        <v>50</v>
      </c>
      <c r="D8" s="7" t="s">
        <v>51</v>
      </c>
      <c r="E8" s="7" t="s">
        <v>52</v>
      </c>
      <c r="F8" s="6" t="s">
        <v>240</v>
      </c>
      <c r="G8" s="6"/>
      <c r="H8" s="6" t="s">
        <v>32</v>
      </c>
      <c r="I8" s="7"/>
      <c r="J8" s="7"/>
      <c r="K8" s="6"/>
      <c r="L8" s="7" t="s">
        <v>53</v>
      </c>
      <c r="M8" s="7" t="s">
        <v>17</v>
      </c>
      <c r="N8" s="7" t="s">
        <v>242</v>
      </c>
      <c r="O8" s="6" t="s">
        <v>47</v>
      </c>
      <c r="P8" s="7" t="s">
        <v>305</v>
      </c>
    </row>
    <row r="9" spans="1:16" ht="30" customHeight="1" x14ac:dyDescent="0.45">
      <c r="A9" s="6" t="s">
        <v>54</v>
      </c>
      <c r="B9" s="7" t="s">
        <v>17</v>
      </c>
      <c r="C9" s="7" t="s">
        <v>55</v>
      </c>
      <c r="D9" s="7" t="s">
        <v>56</v>
      </c>
      <c r="E9" s="7" t="s">
        <v>38</v>
      </c>
      <c r="F9" s="6" t="s">
        <v>240</v>
      </c>
      <c r="G9" s="6"/>
      <c r="H9" s="6" t="s">
        <v>32</v>
      </c>
      <c r="I9" s="7"/>
      <c r="J9" s="7"/>
      <c r="K9" s="6"/>
      <c r="L9" s="7"/>
      <c r="M9" s="7" t="s">
        <v>17</v>
      </c>
      <c r="N9" s="7" t="s">
        <v>242</v>
      </c>
      <c r="O9" s="6" t="s">
        <v>47</v>
      </c>
      <c r="P9" s="7" t="s">
        <v>306</v>
      </c>
    </row>
    <row r="10" spans="1:16" ht="30" customHeight="1" x14ac:dyDescent="0.45">
      <c r="A10" s="6" t="s">
        <v>57</v>
      </c>
      <c r="B10" s="7" t="s">
        <v>17</v>
      </c>
      <c r="C10" s="7" t="s">
        <v>58</v>
      </c>
      <c r="D10" s="7" t="s">
        <v>59</v>
      </c>
      <c r="E10" s="7" t="s">
        <v>60</v>
      </c>
      <c r="F10" s="6" t="s">
        <v>240</v>
      </c>
      <c r="G10" s="6"/>
      <c r="H10" s="6" t="s">
        <v>32</v>
      </c>
      <c r="I10" s="7"/>
      <c r="J10" s="7"/>
      <c r="K10" s="6"/>
      <c r="L10" s="7" t="s">
        <v>62</v>
      </c>
      <c r="M10" s="7" t="s">
        <v>17</v>
      </c>
      <c r="N10" s="7" t="s">
        <v>243</v>
      </c>
      <c r="O10" s="6" t="s">
        <v>61</v>
      </c>
      <c r="P10" s="7" t="s">
        <v>307</v>
      </c>
    </row>
    <row r="11" spans="1:16" ht="30" customHeight="1" x14ac:dyDescent="0.45">
      <c r="A11" s="6" t="s">
        <v>63</v>
      </c>
      <c r="B11" s="7" t="s">
        <v>17</v>
      </c>
      <c r="C11" s="7" t="s">
        <v>64</v>
      </c>
      <c r="D11" s="7" t="s">
        <v>65</v>
      </c>
      <c r="E11" s="7" t="s">
        <v>66</v>
      </c>
      <c r="F11" s="6" t="s">
        <v>240</v>
      </c>
      <c r="G11" s="6"/>
      <c r="H11" s="6" t="s">
        <v>32</v>
      </c>
      <c r="I11" s="7"/>
      <c r="J11" s="7"/>
      <c r="K11" s="6"/>
      <c r="L11" s="7" t="s">
        <v>67</v>
      </c>
      <c r="M11" s="7" t="s">
        <v>17</v>
      </c>
      <c r="N11" s="7" t="s">
        <v>243</v>
      </c>
      <c r="O11" s="6" t="s">
        <v>61</v>
      </c>
      <c r="P11" s="7" t="s">
        <v>308</v>
      </c>
    </row>
    <row r="12" spans="1:16" ht="30" customHeight="1" x14ac:dyDescent="0.45">
      <c r="A12" s="6" t="s">
        <v>68</v>
      </c>
      <c r="B12" s="7" t="s">
        <v>17</v>
      </c>
      <c r="C12" s="7" t="s">
        <v>69</v>
      </c>
      <c r="D12" s="7" t="s">
        <v>70</v>
      </c>
      <c r="E12" s="7" t="s">
        <v>38</v>
      </c>
      <c r="F12" s="6" t="s">
        <v>240</v>
      </c>
      <c r="G12" s="6"/>
      <c r="H12" s="6" t="s">
        <v>32</v>
      </c>
      <c r="I12" s="7"/>
      <c r="J12" s="7"/>
      <c r="K12" s="6"/>
      <c r="L12" s="7" t="s">
        <v>72</v>
      </c>
      <c r="M12" s="7" t="s">
        <v>17</v>
      </c>
      <c r="N12" s="7" t="s">
        <v>244</v>
      </c>
      <c r="O12" s="6" t="s">
        <v>71</v>
      </c>
      <c r="P12" s="7" t="s">
        <v>309</v>
      </c>
    </row>
    <row r="13" spans="1:16" ht="30" customHeight="1" x14ac:dyDescent="0.45">
      <c r="A13" s="6" t="s">
        <v>73</v>
      </c>
      <c r="B13" s="7" t="s">
        <v>17</v>
      </c>
      <c r="C13" s="7" t="s">
        <v>74</v>
      </c>
      <c r="D13" s="7" t="s">
        <v>75</v>
      </c>
      <c r="E13" s="7" t="s">
        <v>38</v>
      </c>
      <c r="F13" s="6" t="s">
        <v>240</v>
      </c>
      <c r="G13" s="6"/>
      <c r="H13" s="6" t="s">
        <v>32</v>
      </c>
      <c r="I13" s="7"/>
      <c r="J13" s="7"/>
      <c r="K13" s="6"/>
      <c r="L13" s="7"/>
      <c r="M13" s="7" t="s">
        <v>17</v>
      </c>
      <c r="N13" s="7" t="s">
        <v>244</v>
      </c>
      <c r="O13" s="6" t="s">
        <v>71</v>
      </c>
      <c r="P13" s="7" t="s">
        <v>310</v>
      </c>
    </row>
    <row r="14" spans="1:16" ht="30" customHeight="1" x14ac:dyDescent="0.45">
      <c r="A14" s="6" t="s">
        <v>79</v>
      </c>
      <c r="B14" s="7" t="s">
        <v>76</v>
      </c>
      <c r="C14" s="7" t="s">
        <v>80</v>
      </c>
      <c r="D14" s="7" t="s">
        <v>81</v>
      </c>
      <c r="E14" s="7" t="s">
        <v>31</v>
      </c>
      <c r="F14" s="6" t="s">
        <v>240</v>
      </c>
      <c r="G14" s="6"/>
      <c r="H14" s="6" t="s">
        <v>32</v>
      </c>
      <c r="I14" s="7"/>
      <c r="J14" s="7"/>
      <c r="K14" s="6"/>
      <c r="L14" s="7" t="s">
        <v>83</v>
      </c>
      <c r="M14" s="7" t="s">
        <v>76</v>
      </c>
      <c r="N14" s="7" t="s">
        <v>245</v>
      </c>
      <c r="O14" s="6" t="s">
        <v>82</v>
      </c>
      <c r="P14" s="7" t="s">
        <v>311</v>
      </c>
    </row>
    <row r="15" spans="1:16" ht="30" customHeight="1" x14ac:dyDescent="0.45">
      <c r="A15" s="6" t="s">
        <v>84</v>
      </c>
      <c r="B15" s="7" t="s">
        <v>76</v>
      </c>
      <c r="C15" s="7" t="s">
        <v>85</v>
      </c>
      <c r="D15" s="7" t="s">
        <v>86</v>
      </c>
      <c r="E15" s="7" t="s">
        <v>66</v>
      </c>
      <c r="F15" s="6" t="s">
        <v>240</v>
      </c>
      <c r="G15" s="6"/>
      <c r="H15" s="6" t="s">
        <v>32</v>
      </c>
      <c r="I15" s="7"/>
      <c r="J15" s="7"/>
      <c r="K15" s="6"/>
      <c r="L15" s="7" t="s">
        <v>87</v>
      </c>
      <c r="M15" s="7" t="s">
        <v>76</v>
      </c>
      <c r="N15" s="7" t="s">
        <v>245</v>
      </c>
      <c r="O15" s="6" t="s">
        <v>82</v>
      </c>
      <c r="P15" s="7" t="s">
        <v>312</v>
      </c>
    </row>
    <row r="16" spans="1:16" ht="30" customHeight="1" x14ac:dyDescent="0.45">
      <c r="A16" s="6" t="s">
        <v>88</v>
      </c>
      <c r="B16" s="7" t="s">
        <v>76</v>
      </c>
      <c r="C16" s="7" t="s">
        <v>89</v>
      </c>
      <c r="D16" s="7" t="s">
        <v>90</v>
      </c>
      <c r="E16" s="7" t="s">
        <v>91</v>
      </c>
      <c r="F16" s="6" t="s">
        <v>240</v>
      </c>
      <c r="G16" s="6"/>
      <c r="H16" s="6" t="s">
        <v>32</v>
      </c>
      <c r="I16" s="7"/>
      <c r="J16" s="7"/>
      <c r="K16" s="6"/>
      <c r="L16" s="7"/>
      <c r="M16" s="7" t="s">
        <v>76</v>
      </c>
      <c r="N16" s="7" t="s">
        <v>245</v>
      </c>
      <c r="O16" s="6" t="s">
        <v>82</v>
      </c>
      <c r="P16" s="7" t="s">
        <v>313</v>
      </c>
    </row>
    <row r="17" spans="1:16" ht="30" customHeight="1" x14ac:dyDescent="0.45">
      <c r="A17" s="6" t="s">
        <v>92</v>
      </c>
      <c r="B17" s="7" t="s">
        <v>76</v>
      </c>
      <c r="C17" s="7" t="s">
        <v>93</v>
      </c>
      <c r="D17" s="7" t="s">
        <v>94</v>
      </c>
      <c r="E17" s="7" t="s">
        <v>38</v>
      </c>
      <c r="F17" s="6" t="s">
        <v>240</v>
      </c>
      <c r="G17" s="6"/>
      <c r="H17" s="6" t="s">
        <v>32</v>
      </c>
      <c r="I17" s="7"/>
      <c r="J17" s="7"/>
      <c r="K17" s="6"/>
      <c r="L17" s="7"/>
      <c r="M17" s="7" t="s">
        <v>76</v>
      </c>
      <c r="N17" s="7" t="s">
        <v>246</v>
      </c>
      <c r="O17" s="6" t="s">
        <v>95</v>
      </c>
      <c r="P17" s="7" t="s">
        <v>314</v>
      </c>
    </row>
    <row r="18" spans="1:16" ht="30" customHeight="1" x14ac:dyDescent="0.45">
      <c r="A18" s="6" t="s">
        <v>96</v>
      </c>
      <c r="B18" s="7" t="s">
        <v>76</v>
      </c>
      <c r="C18" s="7" t="s">
        <v>97</v>
      </c>
      <c r="D18" s="7" t="s">
        <v>98</v>
      </c>
      <c r="E18" s="7" t="s">
        <v>38</v>
      </c>
      <c r="F18" s="6" t="s">
        <v>240</v>
      </c>
      <c r="G18" s="6"/>
      <c r="H18" s="6" t="s">
        <v>32</v>
      </c>
      <c r="I18" s="7"/>
      <c r="J18" s="7"/>
      <c r="K18" s="6"/>
      <c r="L18" s="7" t="s">
        <v>99</v>
      </c>
      <c r="M18" s="7" t="s">
        <v>76</v>
      </c>
      <c r="N18" s="7" t="s">
        <v>246</v>
      </c>
      <c r="O18" s="6" t="s">
        <v>95</v>
      </c>
      <c r="P18" s="7" t="s">
        <v>315</v>
      </c>
    </row>
    <row r="19" spans="1:16" ht="30" customHeight="1" x14ac:dyDescent="0.45">
      <c r="A19" s="6" t="s">
        <v>100</v>
      </c>
      <c r="B19" s="7" t="s">
        <v>76</v>
      </c>
      <c r="C19" s="7" t="s">
        <v>101</v>
      </c>
      <c r="D19" s="7" t="s">
        <v>102</v>
      </c>
      <c r="E19" s="7" t="s">
        <v>103</v>
      </c>
      <c r="F19" s="6" t="s">
        <v>240</v>
      </c>
      <c r="G19" s="6"/>
      <c r="H19" s="6" t="s">
        <v>32</v>
      </c>
      <c r="I19" s="7"/>
      <c r="J19" s="7"/>
      <c r="K19" s="6"/>
      <c r="L19" s="7" t="s">
        <v>104</v>
      </c>
      <c r="M19" s="7" t="s">
        <v>76</v>
      </c>
      <c r="N19" s="7" t="s">
        <v>246</v>
      </c>
      <c r="O19" s="6" t="s">
        <v>95</v>
      </c>
      <c r="P19" s="7" t="s">
        <v>316</v>
      </c>
    </row>
    <row r="20" spans="1:16" ht="30" customHeight="1" x14ac:dyDescent="0.45">
      <c r="A20" s="6" t="s">
        <v>105</v>
      </c>
      <c r="B20" s="7" t="s">
        <v>76</v>
      </c>
      <c r="C20" s="7" t="s">
        <v>106</v>
      </c>
      <c r="D20" s="7" t="s">
        <v>107</v>
      </c>
      <c r="E20" s="7" t="s">
        <v>60</v>
      </c>
      <c r="F20" s="6" t="s">
        <v>240</v>
      </c>
      <c r="G20" s="6"/>
      <c r="H20" s="6" t="s">
        <v>32</v>
      </c>
      <c r="I20" s="7"/>
      <c r="J20" s="7"/>
      <c r="K20" s="6"/>
      <c r="L20" s="7" t="s">
        <v>109</v>
      </c>
      <c r="M20" s="7" t="s">
        <v>76</v>
      </c>
      <c r="N20" s="7" t="s">
        <v>247</v>
      </c>
      <c r="O20" s="6" t="s">
        <v>108</v>
      </c>
      <c r="P20" s="7" t="s">
        <v>317</v>
      </c>
    </row>
    <row r="21" spans="1:16" ht="30" customHeight="1" x14ac:dyDescent="0.45">
      <c r="A21" s="6" t="s">
        <v>110</v>
      </c>
      <c r="B21" s="7" t="s">
        <v>76</v>
      </c>
      <c r="C21" s="7" t="s">
        <v>111</v>
      </c>
      <c r="D21" s="7" t="s">
        <v>112</v>
      </c>
      <c r="E21" s="7" t="s">
        <v>38</v>
      </c>
      <c r="F21" s="6" t="s">
        <v>240</v>
      </c>
      <c r="G21" s="6"/>
      <c r="H21" s="6" t="s">
        <v>32</v>
      </c>
      <c r="I21" s="7"/>
      <c r="J21" s="7"/>
      <c r="K21" s="6"/>
      <c r="L21" s="7"/>
      <c r="M21" s="7" t="s">
        <v>76</v>
      </c>
      <c r="N21" s="7" t="s">
        <v>247</v>
      </c>
      <c r="O21" s="6" t="s">
        <v>108</v>
      </c>
      <c r="P21" s="7" t="s">
        <v>318</v>
      </c>
    </row>
    <row r="22" spans="1:16" ht="30" customHeight="1" x14ac:dyDescent="0.45">
      <c r="A22" s="6" t="s">
        <v>113</v>
      </c>
      <c r="B22" s="7" t="s">
        <v>76</v>
      </c>
      <c r="C22" s="7" t="s">
        <v>114</v>
      </c>
      <c r="D22" s="7" t="s">
        <v>115</v>
      </c>
      <c r="E22" s="7" t="s">
        <v>52</v>
      </c>
      <c r="F22" s="6" t="s">
        <v>240</v>
      </c>
      <c r="G22" s="6"/>
      <c r="H22" s="6" t="s">
        <v>32</v>
      </c>
      <c r="I22" s="7"/>
      <c r="J22" s="7"/>
      <c r="K22" s="6"/>
      <c r="L22" s="7" t="s">
        <v>117</v>
      </c>
      <c r="M22" s="7" t="s">
        <v>76</v>
      </c>
      <c r="N22" s="7" t="s">
        <v>248</v>
      </c>
      <c r="O22" s="6" t="s">
        <v>116</v>
      </c>
      <c r="P22" s="7" t="s">
        <v>319</v>
      </c>
    </row>
    <row r="23" spans="1:16" ht="30" customHeight="1" x14ac:dyDescent="0.45">
      <c r="A23" s="6" t="s">
        <v>118</v>
      </c>
      <c r="B23" s="7" t="s">
        <v>76</v>
      </c>
      <c r="C23" s="7" t="s">
        <v>119</v>
      </c>
      <c r="D23" s="7" t="s">
        <v>120</v>
      </c>
      <c r="E23" s="7" t="s">
        <v>52</v>
      </c>
      <c r="F23" s="6" t="s">
        <v>240</v>
      </c>
      <c r="G23" s="6"/>
      <c r="H23" s="6" t="s">
        <v>32</v>
      </c>
      <c r="I23" s="7"/>
      <c r="J23" s="7"/>
      <c r="K23" s="6"/>
      <c r="L23" s="7"/>
      <c r="M23" s="7" t="s">
        <v>76</v>
      </c>
      <c r="N23" s="7" t="s">
        <v>248</v>
      </c>
      <c r="O23" s="6" t="s">
        <v>116</v>
      </c>
      <c r="P23" s="7" t="s">
        <v>320</v>
      </c>
    </row>
    <row r="24" spans="1:16" ht="30" customHeight="1" x14ac:dyDescent="0.45">
      <c r="A24" s="6" t="s">
        <v>121</v>
      </c>
      <c r="B24" s="7" t="s">
        <v>76</v>
      </c>
      <c r="C24" s="7" t="s">
        <v>122</v>
      </c>
      <c r="D24" s="7" t="s">
        <v>123</v>
      </c>
      <c r="E24" s="7" t="s">
        <v>66</v>
      </c>
      <c r="F24" s="6" t="s">
        <v>240</v>
      </c>
      <c r="G24" s="6"/>
      <c r="H24" s="6" t="s">
        <v>32</v>
      </c>
      <c r="I24" s="7"/>
      <c r="J24" s="7"/>
      <c r="K24" s="6"/>
      <c r="L24" s="7"/>
      <c r="M24" s="7" t="s">
        <v>76</v>
      </c>
      <c r="N24" s="7" t="s">
        <v>249</v>
      </c>
      <c r="O24" s="6" t="s">
        <v>124</v>
      </c>
      <c r="P24" s="7" t="s">
        <v>321</v>
      </c>
    </row>
    <row r="25" spans="1:16" ht="30" customHeight="1" x14ac:dyDescent="0.45">
      <c r="A25" s="6" t="s">
        <v>125</v>
      </c>
      <c r="B25" s="7" t="s">
        <v>76</v>
      </c>
      <c r="C25" s="7" t="s">
        <v>126</v>
      </c>
      <c r="D25" s="7" t="s">
        <v>127</v>
      </c>
      <c r="E25" s="7" t="s">
        <v>128</v>
      </c>
      <c r="F25" s="6" t="s">
        <v>240</v>
      </c>
      <c r="G25" s="6"/>
      <c r="H25" s="6" t="s">
        <v>32</v>
      </c>
      <c r="I25" s="7"/>
      <c r="J25" s="7"/>
      <c r="K25" s="6"/>
      <c r="L25" s="7" t="s">
        <v>129</v>
      </c>
      <c r="M25" s="7" t="s">
        <v>76</v>
      </c>
      <c r="N25" s="7" t="s">
        <v>249</v>
      </c>
      <c r="O25" s="6" t="s">
        <v>124</v>
      </c>
      <c r="P25" s="7" t="s">
        <v>322</v>
      </c>
    </row>
    <row r="26" spans="1:16" ht="30" customHeight="1" x14ac:dyDescent="0.45">
      <c r="A26" s="6" t="s">
        <v>133</v>
      </c>
      <c r="B26" s="7" t="s">
        <v>130</v>
      </c>
      <c r="C26" s="7" t="s">
        <v>134</v>
      </c>
      <c r="D26" s="7" t="s">
        <v>135</v>
      </c>
      <c r="E26" s="7" t="s">
        <v>66</v>
      </c>
      <c r="F26" s="6" t="s">
        <v>240</v>
      </c>
      <c r="G26" s="6"/>
      <c r="H26" s="6" t="s">
        <v>32</v>
      </c>
      <c r="I26" s="7"/>
      <c r="J26" s="7"/>
      <c r="K26" s="6"/>
      <c r="L26" s="7" t="s">
        <v>137</v>
      </c>
      <c r="M26" s="7" t="s">
        <v>130</v>
      </c>
      <c r="N26" s="7" t="s">
        <v>250</v>
      </c>
      <c r="O26" s="6" t="s">
        <v>136</v>
      </c>
      <c r="P26" s="7" t="s">
        <v>323</v>
      </c>
    </row>
    <row r="27" spans="1:16" ht="30" customHeight="1" x14ac:dyDescent="0.45">
      <c r="A27" s="6" t="s">
        <v>138</v>
      </c>
      <c r="B27" s="7" t="s">
        <v>130</v>
      </c>
      <c r="C27" s="7" t="s">
        <v>139</v>
      </c>
      <c r="D27" s="7" t="s">
        <v>140</v>
      </c>
      <c r="E27" s="7" t="s">
        <v>31</v>
      </c>
      <c r="F27" s="6" t="s">
        <v>240</v>
      </c>
      <c r="G27" s="6"/>
      <c r="H27" s="6" t="s">
        <v>32</v>
      </c>
      <c r="I27" s="7"/>
      <c r="J27" s="7"/>
      <c r="K27" s="6"/>
      <c r="L27" s="7"/>
      <c r="M27" s="7" t="s">
        <v>130</v>
      </c>
      <c r="N27" s="7" t="s">
        <v>250</v>
      </c>
      <c r="O27" s="6" t="s">
        <v>136</v>
      </c>
      <c r="P27" s="7" t="s">
        <v>324</v>
      </c>
    </row>
    <row r="28" spans="1:16" ht="30" customHeight="1" x14ac:dyDescent="0.45">
      <c r="A28" s="6" t="s">
        <v>141</v>
      </c>
      <c r="B28" s="7" t="s">
        <v>130</v>
      </c>
      <c r="C28" s="7" t="s">
        <v>142</v>
      </c>
      <c r="D28" s="7" t="s">
        <v>143</v>
      </c>
      <c r="E28" s="7" t="s">
        <v>144</v>
      </c>
      <c r="F28" s="6" t="s">
        <v>240</v>
      </c>
      <c r="G28" s="6"/>
      <c r="H28" s="6" t="s">
        <v>32</v>
      </c>
      <c r="I28" s="7"/>
      <c r="J28" s="7"/>
      <c r="K28" s="6"/>
      <c r="L28" s="7"/>
      <c r="M28" s="7" t="s">
        <v>130</v>
      </c>
      <c r="N28" s="7" t="s">
        <v>251</v>
      </c>
      <c r="O28" s="6" t="s">
        <v>145</v>
      </c>
      <c r="P28" s="7" t="s">
        <v>325</v>
      </c>
    </row>
    <row r="29" spans="1:16" ht="30" customHeight="1" x14ac:dyDescent="0.45">
      <c r="A29" s="6" t="s">
        <v>146</v>
      </c>
      <c r="B29" s="7" t="s">
        <v>130</v>
      </c>
      <c r="C29" s="7" t="s">
        <v>147</v>
      </c>
      <c r="D29" s="7" t="s">
        <v>148</v>
      </c>
      <c r="E29" s="7" t="s">
        <v>144</v>
      </c>
      <c r="F29" s="6" t="s">
        <v>240</v>
      </c>
      <c r="G29" s="6"/>
      <c r="H29" s="6" t="s">
        <v>32</v>
      </c>
      <c r="I29" s="7"/>
      <c r="J29" s="7"/>
      <c r="K29" s="6"/>
      <c r="L29" s="7" t="s">
        <v>149</v>
      </c>
      <c r="M29" s="7" t="s">
        <v>130</v>
      </c>
      <c r="N29" s="7" t="s">
        <v>251</v>
      </c>
      <c r="O29" s="6" t="s">
        <v>145</v>
      </c>
      <c r="P29" s="7" t="s">
        <v>326</v>
      </c>
    </row>
    <row r="30" spans="1:16" ht="30" customHeight="1" x14ac:dyDescent="0.45">
      <c r="A30" s="6" t="s">
        <v>150</v>
      </c>
      <c r="B30" s="7" t="s">
        <v>130</v>
      </c>
      <c r="C30" s="7" t="s">
        <v>151</v>
      </c>
      <c r="D30" s="7" t="s">
        <v>152</v>
      </c>
      <c r="E30" s="7" t="s">
        <v>144</v>
      </c>
      <c r="F30" s="6" t="s">
        <v>240</v>
      </c>
      <c r="G30" s="6"/>
      <c r="H30" s="6" t="s">
        <v>32</v>
      </c>
      <c r="I30" s="7"/>
      <c r="J30" s="7"/>
      <c r="K30" s="6"/>
      <c r="L30" s="7" t="s">
        <v>153</v>
      </c>
      <c r="M30" s="7" t="s">
        <v>130</v>
      </c>
      <c r="N30" s="7" t="s">
        <v>251</v>
      </c>
      <c r="O30" s="6" t="s">
        <v>145</v>
      </c>
      <c r="P30" s="7" t="s">
        <v>327</v>
      </c>
    </row>
    <row r="31" spans="1:16" ht="30" customHeight="1" x14ac:dyDescent="0.45">
      <c r="A31" s="6" t="s">
        <v>154</v>
      </c>
      <c r="B31" s="7" t="s">
        <v>130</v>
      </c>
      <c r="C31" s="7" t="s">
        <v>155</v>
      </c>
      <c r="D31" s="7" t="s">
        <v>156</v>
      </c>
      <c r="E31" s="7" t="s">
        <v>60</v>
      </c>
      <c r="F31" s="6" t="s">
        <v>240</v>
      </c>
      <c r="G31" s="6"/>
      <c r="H31" s="6" t="s">
        <v>32</v>
      </c>
      <c r="I31" s="7"/>
      <c r="J31" s="7"/>
      <c r="K31" s="6"/>
      <c r="L31" s="7" t="s">
        <v>158</v>
      </c>
      <c r="M31" s="7" t="s">
        <v>130</v>
      </c>
      <c r="N31" s="7" t="s">
        <v>252</v>
      </c>
      <c r="O31" s="6" t="s">
        <v>157</v>
      </c>
      <c r="P31" s="7" t="s">
        <v>328</v>
      </c>
    </row>
    <row r="32" spans="1:16" ht="30" customHeight="1" x14ac:dyDescent="0.45">
      <c r="A32" s="6" t="s">
        <v>159</v>
      </c>
      <c r="B32" s="7" t="s">
        <v>130</v>
      </c>
      <c r="C32" s="7" t="s">
        <v>160</v>
      </c>
      <c r="D32" s="7" t="s">
        <v>161</v>
      </c>
      <c r="E32" s="7" t="s">
        <v>60</v>
      </c>
      <c r="F32" s="6" t="s">
        <v>240</v>
      </c>
      <c r="G32" s="6"/>
      <c r="H32" s="6" t="s">
        <v>32</v>
      </c>
      <c r="I32" s="7"/>
      <c r="J32" s="7"/>
      <c r="K32" s="6"/>
      <c r="L32" s="7"/>
      <c r="M32" s="7" t="s">
        <v>130</v>
      </c>
      <c r="N32" s="7" t="s">
        <v>252</v>
      </c>
      <c r="O32" s="6" t="s">
        <v>157</v>
      </c>
      <c r="P32" s="7" t="s">
        <v>329</v>
      </c>
    </row>
    <row r="33" spans="1:16" ht="30" customHeight="1" x14ac:dyDescent="0.45">
      <c r="A33" s="6" t="s">
        <v>162</v>
      </c>
      <c r="B33" s="7" t="s">
        <v>130</v>
      </c>
      <c r="C33" s="7" t="s">
        <v>163</v>
      </c>
      <c r="D33" s="7" t="s">
        <v>164</v>
      </c>
      <c r="E33" s="7" t="s">
        <v>66</v>
      </c>
      <c r="F33" s="6" t="s">
        <v>240</v>
      </c>
      <c r="G33" s="6"/>
      <c r="H33" s="6" t="s">
        <v>32</v>
      </c>
      <c r="I33" s="7"/>
      <c r="J33" s="7"/>
      <c r="K33" s="6"/>
      <c r="L33" s="7"/>
      <c r="M33" s="7" t="s">
        <v>130</v>
      </c>
      <c r="N33" s="7" t="s">
        <v>253</v>
      </c>
      <c r="O33" s="6" t="s">
        <v>165</v>
      </c>
      <c r="P33" s="7" t="s">
        <v>330</v>
      </c>
    </row>
    <row r="34" spans="1:16" ht="30" customHeight="1" x14ac:dyDescent="0.45">
      <c r="A34" s="6" t="s">
        <v>166</v>
      </c>
      <c r="B34" s="7" t="s">
        <v>130</v>
      </c>
      <c r="C34" s="7" t="s">
        <v>167</v>
      </c>
      <c r="D34" s="7" t="s">
        <v>168</v>
      </c>
      <c r="E34" s="7" t="s">
        <v>66</v>
      </c>
      <c r="F34" s="6" t="s">
        <v>240</v>
      </c>
      <c r="G34" s="6"/>
      <c r="H34" s="6" t="s">
        <v>32</v>
      </c>
      <c r="I34" s="7"/>
      <c r="J34" s="7"/>
      <c r="K34" s="6"/>
      <c r="L34" s="7"/>
      <c r="M34" s="7" t="s">
        <v>130</v>
      </c>
      <c r="N34" s="7" t="s">
        <v>253</v>
      </c>
      <c r="O34" s="6" t="s">
        <v>165</v>
      </c>
      <c r="P34" s="7" t="s">
        <v>331</v>
      </c>
    </row>
    <row r="35" spans="1:16" ht="30" customHeight="1" x14ac:dyDescent="0.45">
      <c r="A35" s="6" t="s">
        <v>169</v>
      </c>
      <c r="B35" s="7" t="s">
        <v>130</v>
      </c>
      <c r="C35" s="7" t="s">
        <v>170</v>
      </c>
      <c r="D35" s="7" t="s">
        <v>171</v>
      </c>
      <c r="E35" s="7" t="s">
        <v>128</v>
      </c>
      <c r="F35" s="6" t="s">
        <v>240</v>
      </c>
      <c r="G35" s="6"/>
      <c r="H35" s="6" t="s">
        <v>32</v>
      </c>
      <c r="I35" s="7"/>
      <c r="J35" s="7"/>
      <c r="K35" s="6"/>
      <c r="L35" s="7"/>
      <c r="M35" s="7" t="s">
        <v>130</v>
      </c>
      <c r="N35" s="7" t="s">
        <v>253</v>
      </c>
      <c r="O35" s="6" t="s">
        <v>165</v>
      </c>
      <c r="P35" s="7" t="s">
        <v>332</v>
      </c>
    </row>
    <row r="36" spans="1:16" ht="30" customHeight="1" x14ac:dyDescent="0.45">
      <c r="A36" s="6" t="s">
        <v>172</v>
      </c>
      <c r="B36" s="7" t="s">
        <v>130</v>
      </c>
      <c r="C36" s="7" t="s">
        <v>173</v>
      </c>
      <c r="D36" s="7" t="s">
        <v>174</v>
      </c>
      <c r="E36" s="7" t="s">
        <v>52</v>
      </c>
      <c r="F36" s="6" t="s">
        <v>240</v>
      </c>
      <c r="G36" s="6"/>
      <c r="H36" s="6" t="s">
        <v>32</v>
      </c>
      <c r="I36" s="7"/>
      <c r="J36" s="7"/>
      <c r="K36" s="6"/>
      <c r="L36" s="7" t="s">
        <v>176</v>
      </c>
      <c r="M36" s="7" t="s">
        <v>130</v>
      </c>
      <c r="N36" s="7" t="s">
        <v>254</v>
      </c>
      <c r="O36" s="6" t="s">
        <v>175</v>
      </c>
      <c r="P36" s="7" t="s">
        <v>333</v>
      </c>
    </row>
    <row r="37" spans="1:16" ht="30" customHeight="1" x14ac:dyDescent="0.45">
      <c r="A37" s="6" t="s">
        <v>177</v>
      </c>
      <c r="B37" s="7" t="s">
        <v>130</v>
      </c>
      <c r="C37" s="7" t="s">
        <v>178</v>
      </c>
      <c r="D37" s="7" t="s">
        <v>179</v>
      </c>
      <c r="E37" s="7" t="s">
        <v>52</v>
      </c>
      <c r="F37" s="6" t="s">
        <v>240</v>
      </c>
      <c r="G37" s="6"/>
      <c r="H37" s="6" t="s">
        <v>32</v>
      </c>
      <c r="I37" s="7"/>
      <c r="J37" s="7"/>
      <c r="K37" s="6"/>
      <c r="L37" s="7"/>
      <c r="M37" s="7" t="s">
        <v>130</v>
      </c>
      <c r="N37" s="7" t="s">
        <v>254</v>
      </c>
      <c r="O37" s="6" t="s">
        <v>175</v>
      </c>
      <c r="P37" s="7" t="s">
        <v>334</v>
      </c>
    </row>
    <row r="38" spans="1:16" ht="30" customHeight="1" x14ac:dyDescent="0.45">
      <c r="A38" s="6" t="s">
        <v>180</v>
      </c>
      <c r="B38" s="7" t="s">
        <v>130</v>
      </c>
      <c r="C38" s="7" t="s">
        <v>181</v>
      </c>
      <c r="D38" s="7" t="s">
        <v>182</v>
      </c>
      <c r="E38" s="7" t="s">
        <v>183</v>
      </c>
      <c r="F38" s="6" t="s">
        <v>240</v>
      </c>
      <c r="G38" s="6"/>
      <c r="H38" s="6" t="s">
        <v>32</v>
      </c>
      <c r="I38" s="7"/>
      <c r="J38" s="7"/>
      <c r="K38" s="6"/>
      <c r="L38" s="7" t="s">
        <v>185</v>
      </c>
      <c r="M38" s="7" t="s">
        <v>130</v>
      </c>
      <c r="N38" s="7" t="s">
        <v>255</v>
      </c>
      <c r="O38" s="6" t="s">
        <v>184</v>
      </c>
      <c r="P38" s="7" t="s">
        <v>335</v>
      </c>
    </row>
    <row r="39" spans="1:16" ht="30" customHeight="1" x14ac:dyDescent="0.45">
      <c r="A39" s="6" t="s">
        <v>186</v>
      </c>
      <c r="B39" s="7" t="s">
        <v>130</v>
      </c>
      <c r="C39" s="7" t="s">
        <v>187</v>
      </c>
      <c r="D39" s="7" t="s">
        <v>188</v>
      </c>
      <c r="E39" s="7" t="s">
        <v>189</v>
      </c>
      <c r="F39" s="6" t="s">
        <v>240</v>
      </c>
      <c r="G39" s="6"/>
      <c r="H39" s="6" t="s">
        <v>32</v>
      </c>
      <c r="I39" s="7"/>
      <c r="J39" s="7"/>
      <c r="K39" s="6"/>
      <c r="L39" s="7"/>
      <c r="M39" s="7" t="s">
        <v>130</v>
      </c>
      <c r="N39" s="7" t="s">
        <v>255</v>
      </c>
      <c r="O39" s="6" t="s">
        <v>184</v>
      </c>
      <c r="P39" s="7" t="s">
        <v>336</v>
      </c>
    </row>
    <row r="40" spans="1:16" ht="30" customHeight="1" x14ac:dyDescent="0.45">
      <c r="A40" s="6" t="s">
        <v>190</v>
      </c>
      <c r="B40" s="7" t="s">
        <v>130</v>
      </c>
      <c r="C40" s="7" t="s">
        <v>191</v>
      </c>
      <c r="D40" s="7" t="s">
        <v>192</v>
      </c>
      <c r="E40" s="7" t="s">
        <v>91</v>
      </c>
      <c r="F40" s="6" t="s">
        <v>240</v>
      </c>
      <c r="G40" s="6"/>
      <c r="H40" s="6" t="s">
        <v>32</v>
      </c>
      <c r="I40" s="7"/>
      <c r="J40" s="7"/>
      <c r="K40" s="6"/>
      <c r="L40" s="7" t="s">
        <v>193</v>
      </c>
      <c r="M40" s="7" t="s">
        <v>130</v>
      </c>
      <c r="N40" s="7" t="s">
        <v>255</v>
      </c>
      <c r="O40" s="6" t="s">
        <v>184</v>
      </c>
      <c r="P40" s="7" t="s">
        <v>337</v>
      </c>
    </row>
  </sheetData>
  <mergeCells count="1">
    <mergeCell ref="A1:E1"/>
  </mergeCells>
  <dataValidations count="3">
    <dataValidation type="list" allowBlank="1" sqref="F4:F40" xr:uid="{00000000-0002-0000-0500-000000000000}">
      <formula1>"Yes,No,TBC"</formula1>
      <formula2>0</formula2>
    </dataValidation>
    <dataValidation type="list" allowBlank="1" sqref="G4:G40" xr:uid="{00000000-0002-0000-0500-000001000000}">
      <formula1>"Critical,High,Medium"</formula1>
      <formula2>0</formula2>
    </dataValidation>
    <dataValidation type="list" allowBlank="1" sqref="H4:H40" xr:uid="{00000000-0002-0000-0500-000002000000}">
      <formula1>"Planned,In Development,Submitted / Review,Complete"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showGridLines="0" zoomScaleNormal="100" workbookViewId="0"/>
  </sheetViews>
  <sheetFormatPr defaultColWidth="8.6640625" defaultRowHeight="14.25" x14ac:dyDescent="0.45"/>
  <cols>
    <col min="1" max="1" width="10" customWidth="1"/>
    <col min="2" max="2" width="40" customWidth="1"/>
    <col min="3" max="3" width="10" customWidth="1"/>
  </cols>
  <sheetData>
    <row r="1" spans="1:3" ht="18" x14ac:dyDescent="0.55000000000000004">
      <c r="A1" s="2" t="s">
        <v>256</v>
      </c>
    </row>
    <row r="3" spans="1:3" ht="30" customHeight="1" x14ac:dyDescent="0.45">
      <c r="A3" s="5" t="s">
        <v>196</v>
      </c>
      <c r="B3" s="5" t="s">
        <v>197</v>
      </c>
      <c r="C3" s="5" t="s">
        <v>201</v>
      </c>
    </row>
    <row r="4" spans="1:3" x14ac:dyDescent="0.45">
      <c r="A4" s="6" t="s">
        <v>202</v>
      </c>
      <c r="B4" s="7" t="s">
        <v>17</v>
      </c>
      <c r="C4" s="6">
        <f>COUNTIF('Master Register'!$B$4:$B$40,B4)</f>
        <v>10</v>
      </c>
    </row>
    <row r="5" spans="1:3" x14ac:dyDescent="0.45">
      <c r="A5" s="6" t="s">
        <v>210</v>
      </c>
      <c r="B5" s="7" t="s">
        <v>76</v>
      </c>
      <c r="C5" s="6">
        <f>COUNTIF('Master Register'!$B$4:$B$40,B5)</f>
        <v>12</v>
      </c>
    </row>
    <row r="6" spans="1:3" x14ac:dyDescent="0.45">
      <c r="A6" s="6" t="s">
        <v>221</v>
      </c>
      <c r="B6" s="7" t="s">
        <v>130</v>
      </c>
      <c r="C6" s="6">
        <f>COUNTIF('Master Register'!$B$4:$B$40,B6)</f>
        <v>15</v>
      </c>
    </row>
    <row r="7" spans="1:3" x14ac:dyDescent="0.45">
      <c r="A7" s="11"/>
      <c r="B7" s="12" t="s">
        <v>257</v>
      </c>
      <c r="C7" s="13">
        <f>SUM(C4:C6)</f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Normal="100" workbookViewId="0"/>
  </sheetViews>
  <sheetFormatPr defaultColWidth="8.6640625" defaultRowHeight="14.25" x14ac:dyDescent="0.45"/>
  <cols>
    <col min="1" max="1" width="34" customWidth="1"/>
    <col min="2" max="2" width="12" customWidth="1"/>
    <col min="3" max="3" width="3" customWidth="1"/>
    <col min="4" max="4" width="20" customWidth="1"/>
    <col min="5" max="5" width="12" customWidth="1"/>
    <col min="6" max="6" width="3" customWidth="1"/>
    <col min="7" max="7" width="32" customWidth="1"/>
    <col min="8" max="8" width="12" customWidth="1"/>
  </cols>
  <sheetData>
    <row r="1" spans="1:8" ht="18" x14ac:dyDescent="0.55000000000000004">
      <c r="A1" s="22" t="s">
        <v>339</v>
      </c>
      <c r="B1" s="22"/>
      <c r="C1" s="22"/>
      <c r="D1" s="22"/>
      <c r="E1" s="22"/>
    </row>
    <row r="2" spans="1:8" x14ac:dyDescent="0.45">
      <c r="A2" s="23" t="s">
        <v>258</v>
      </c>
      <c r="B2" s="23"/>
      <c r="C2" s="23"/>
      <c r="D2" s="23"/>
      <c r="E2" s="23"/>
    </row>
    <row r="4" spans="1:8" x14ac:dyDescent="0.45">
      <c r="A4" s="14" t="s">
        <v>259</v>
      </c>
      <c r="B4" s="14" t="s">
        <v>260</v>
      </c>
      <c r="D4" s="14" t="s">
        <v>24</v>
      </c>
      <c r="E4" s="14" t="s">
        <v>260</v>
      </c>
    </row>
    <row r="5" spans="1:8" x14ac:dyDescent="0.45">
      <c r="A5" s="15" t="s">
        <v>261</v>
      </c>
      <c r="B5" s="16">
        <f>COUNTA('Master Register'!$A$4:$A$40)</f>
        <v>37</v>
      </c>
      <c r="D5" s="15" t="s">
        <v>32</v>
      </c>
      <c r="E5" s="16">
        <f>COUNTIF('Master Register'!$H$4:$H$40,"Planned")</f>
        <v>37</v>
      </c>
    </row>
    <row r="6" spans="1:8" x14ac:dyDescent="0.45">
      <c r="A6" s="15" t="s">
        <v>262</v>
      </c>
      <c r="B6" s="16">
        <f>COUNTIF('Master Register'!$F$4:$F$40,"Yes")</f>
        <v>0</v>
      </c>
      <c r="D6" s="15" t="s">
        <v>263</v>
      </c>
      <c r="E6" s="16">
        <f>COUNTIF('Master Register'!$H$4:$H$40,"In Development")</f>
        <v>0</v>
      </c>
    </row>
    <row r="7" spans="1:8" x14ac:dyDescent="0.45">
      <c r="A7" s="15" t="s">
        <v>264</v>
      </c>
      <c r="B7" s="16">
        <f>COUNTIF('Master Register'!$F$4:$F$40,"No")</f>
        <v>0</v>
      </c>
      <c r="D7" s="15" t="s">
        <v>265</v>
      </c>
      <c r="E7" s="16">
        <f>COUNTIF('Master Register'!$H$4:$H$40,"Submitted / Review")</f>
        <v>0</v>
      </c>
    </row>
    <row r="8" spans="1:8" x14ac:dyDescent="0.45">
      <c r="A8" s="15" t="s">
        <v>266</v>
      </c>
      <c r="B8" s="16">
        <f>COUNTIF('Master Register'!$F$4:$F$40,"TBC")</f>
        <v>37</v>
      </c>
      <c r="D8" s="15" t="s">
        <v>267</v>
      </c>
      <c r="E8" s="16">
        <f>COUNTIF('Master Register'!$H$4:$H$40,"Complete")</f>
        <v>0</v>
      </c>
    </row>
    <row r="9" spans="1:8" x14ac:dyDescent="0.45">
      <c r="A9" s="15" t="s">
        <v>268</v>
      </c>
      <c r="B9" s="16">
        <f>COUNTIF('Master Register'!$G$4:$G$40,"Critical")</f>
        <v>0</v>
      </c>
      <c r="D9" s="15" t="s">
        <v>269</v>
      </c>
      <c r="E9" s="17">
        <f>IFERROR(E8/B5,0)</f>
        <v>0</v>
      </c>
    </row>
    <row r="11" spans="1:8" x14ac:dyDescent="0.45">
      <c r="A11" s="18" t="s">
        <v>270</v>
      </c>
      <c r="G11" s="18" t="s">
        <v>271</v>
      </c>
    </row>
    <row r="12" spans="1:8" x14ac:dyDescent="0.45">
      <c r="A12" s="14" t="s">
        <v>23</v>
      </c>
      <c r="B12" s="14" t="s">
        <v>272</v>
      </c>
      <c r="G12" s="14" t="s">
        <v>233</v>
      </c>
      <c r="H12" s="14" t="s">
        <v>272</v>
      </c>
    </row>
    <row r="13" spans="1:8" x14ac:dyDescent="0.45">
      <c r="A13" s="7" t="s">
        <v>52</v>
      </c>
      <c r="B13" s="16">
        <f>COUNTIF('Master Register'!$E$4:$E$40,A13)</f>
        <v>5</v>
      </c>
      <c r="G13" s="7" t="s">
        <v>17</v>
      </c>
      <c r="H13" s="16">
        <f>COUNTIF('Master Register'!$B$4:$B$40,G13)</f>
        <v>10</v>
      </c>
    </row>
    <row r="14" spans="1:8" x14ac:dyDescent="0.45">
      <c r="A14" s="7" t="s">
        <v>183</v>
      </c>
      <c r="B14" s="16">
        <f>COUNTIF('Master Register'!$E$4:$E$40,A14)</f>
        <v>1</v>
      </c>
      <c r="G14" s="7" t="s">
        <v>76</v>
      </c>
      <c r="H14" s="16">
        <f>COUNTIF('Master Register'!$B$4:$B$40,G14)</f>
        <v>12</v>
      </c>
    </row>
    <row r="15" spans="1:8" x14ac:dyDescent="0.45">
      <c r="A15" s="7" t="s">
        <v>189</v>
      </c>
      <c r="B15" s="16">
        <f>COUNTIF('Master Register'!$E$4:$E$40,A15)</f>
        <v>1</v>
      </c>
      <c r="G15" s="7" t="s">
        <v>130</v>
      </c>
      <c r="H15" s="16">
        <f>COUNTIF('Master Register'!$B$4:$B$40,G15)</f>
        <v>15</v>
      </c>
    </row>
    <row r="16" spans="1:8" x14ac:dyDescent="0.45">
      <c r="A16" s="7" t="s">
        <v>103</v>
      </c>
      <c r="B16" s="16">
        <f>COUNTIF('Master Register'!$E$4:$E$40,A16)</f>
        <v>1</v>
      </c>
      <c r="G16" s="12" t="s">
        <v>257</v>
      </c>
      <c r="H16" s="16">
        <f>SUM(H13:H15)</f>
        <v>37</v>
      </c>
    </row>
    <row r="17" spans="1:2" x14ac:dyDescent="0.45">
      <c r="A17" s="7" t="s">
        <v>38</v>
      </c>
      <c r="B17" s="16">
        <f>COUNTIF('Master Register'!$E$4:$E$40,A17)</f>
        <v>9</v>
      </c>
    </row>
    <row r="18" spans="1:2" x14ac:dyDescent="0.45">
      <c r="A18" s="7" t="s">
        <v>128</v>
      </c>
      <c r="B18" s="16">
        <f>COUNTIF('Master Register'!$E$4:$E$40,A18)</f>
        <v>2</v>
      </c>
    </row>
    <row r="19" spans="1:2" x14ac:dyDescent="0.45">
      <c r="A19" s="7" t="s">
        <v>66</v>
      </c>
      <c r="B19" s="16">
        <f>COUNTIF('Master Register'!$E$4:$E$40,A19)</f>
        <v>6</v>
      </c>
    </row>
    <row r="20" spans="1:2" x14ac:dyDescent="0.45">
      <c r="A20" s="7" t="s">
        <v>31</v>
      </c>
      <c r="B20" s="16">
        <f>COUNTIF('Master Register'!$E$4:$E$40,A20)</f>
        <v>3</v>
      </c>
    </row>
    <row r="21" spans="1:2" x14ac:dyDescent="0.45">
      <c r="A21" s="7" t="s">
        <v>91</v>
      </c>
      <c r="B21" s="16">
        <f>COUNTIF('Master Register'!$E$4:$E$40,A21)</f>
        <v>2</v>
      </c>
    </row>
    <row r="22" spans="1:2" x14ac:dyDescent="0.45">
      <c r="A22" s="7" t="s">
        <v>144</v>
      </c>
      <c r="B22" s="16">
        <f>COUNTIF('Master Register'!$E$4:$E$40,A22)</f>
        <v>3</v>
      </c>
    </row>
    <row r="23" spans="1:2" x14ac:dyDescent="0.45">
      <c r="A23" s="7" t="s">
        <v>60</v>
      </c>
      <c r="B23" s="16">
        <f>COUNTIF('Master Register'!$E$4:$E$40,A23)</f>
        <v>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showGridLines="0" zoomScaleNormal="100" workbookViewId="0"/>
  </sheetViews>
  <sheetFormatPr defaultColWidth="8.6640625" defaultRowHeight="14.25" x14ac:dyDescent="0.45"/>
  <cols>
    <col min="1" max="1" width="26" customWidth="1"/>
    <col min="2" max="2" width="56" customWidth="1"/>
    <col min="3" max="3" width="42" customWidth="1"/>
    <col min="4" max="4" width="3" customWidth="1"/>
    <col min="5" max="5" width="30" customWidth="1"/>
    <col min="6" max="6" width="18" customWidth="1"/>
  </cols>
  <sheetData>
    <row r="1" spans="1:6" ht="18" x14ac:dyDescent="0.55000000000000004">
      <c r="A1" s="22" t="s">
        <v>273</v>
      </c>
      <c r="B1" s="22"/>
      <c r="C1" s="22"/>
    </row>
    <row r="3" spans="1:6" ht="30" customHeight="1" x14ac:dyDescent="0.45">
      <c r="A3" s="5" t="s">
        <v>274</v>
      </c>
      <c r="B3" s="5" t="s">
        <v>275</v>
      </c>
      <c r="C3" s="5" t="s">
        <v>276</v>
      </c>
      <c r="E3" s="5" t="s">
        <v>277</v>
      </c>
      <c r="F3" s="5" t="s">
        <v>278</v>
      </c>
    </row>
    <row r="4" spans="1:6" ht="30" customHeight="1" x14ac:dyDescent="0.45">
      <c r="A4" s="19" t="s">
        <v>233</v>
      </c>
      <c r="B4" s="20" t="s">
        <v>279</v>
      </c>
      <c r="C4" s="20" t="s">
        <v>280</v>
      </c>
      <c r="E4" s="7" t="s">
        <v>52</v>
      </c>
      <c r="F4" s="6" t="s">
        <v>281</v>
      </c>
    </row>
    <row r="5" spans="1:6" ht="30" customHeight="1" x14ac:dyDescent="0.45">
      <c r="A5" s="19" t="s">
        <v>234</v>
      </c>
      <c r="B5" s="20" t="s">
        <v>282</v>
      </c>
      <c r="C5" s="20" t="s">
        <v>283</v>
      </c>
      <c r="E5" s="7" t="s">
        <v>183</v>
      </c>
      <c r="F5" s="6" t="s">
        <v>284</v>
      </c>
    </row>
    <row r="6" spans="1:6" ht="30" customHeight="1" x14ac:dyDescent="0.45">
      <c r="A6" s="19" t="s">
        <v>24</v>
      </c>
      <c r="B6" s="20" t="s">
        <v>285</v>
      </c>
      <c r="C6" s="20" t="s">
        <v>286</v>
      </c>
      <c r="E6" s="7" t="s">
        <v>189</v>
      </c>
      <c r="F6" s="6" t="s">
        <v>240</v>
      </c>
    </row>
    <row r="7" spans="1:6" ht="30" customHeight="1" x14ac:dyDescent="0.45">
      <c r="A7" s="19" t="s">
        <v>235</v>
      </c>
      <c r="B7" s="20" t="s">
        <v>287</v>
      </c>
      <c r="C7" s="20" t="s">
        <v>288</v>
      </c>
      <c r="E7" s="7" t="s">
        <v>103</v>
      </c>
      <c r="F7" s="6" t="s">
        <v>289</v>
      </c>
    </row>
    <row r="8" spans="1:6" ht="30" customHeight="1" x14ac:dyDescent="0.45">
      <c r="A8" s="19" t="s">
        <v>23</v>
      </c>
      <c r="B8" s="20" t="s">
        <v>290</v>
      </c>
      <c r="C8" s="20" t="s">
        <v>291</v>
      </c>
      <c r="E8" s="7" t="s">
        <v>38</v>
      </c>
      <c r="F8" s="6" t="s">
        <v>292</v>
      </c>
    </row>
    <row r="9" spans="1:6" ht="30" customHeight="1" x14ac:dyDescent="0.45">
      <c r="A9" s="19" t="s">
        <v>236</v>
      </c>
      <c r="B9" s="20" t="s">
        <v>293</v>
      </c>
      <c r="C9" s="20" t="s">
        <v>294</v>
      </c>
      <c r="E9" s="7" t="s">
        <v>128</v>
      </c>
      <c r="F9" s="6" t="s">
        <v>295</v>
      </c>
    </row>
    <row r="10" spans="1:6" ht="30" customHeight="1" x14ac:dyDescent="0.45">
      <c r="A10" s="19" t="s">
        <v>296</v>
      </c>
      <c r="B10" s="20" t="s">
        <v>340</v>
      </c>
      <c r="C10" s="20" t="s">
        <v>297</v>
      </c>
      <c r="E10" s="7" t="s">
        <v>66</v>
      </c>
      <c r="F10" s="6" t="s">
        <v>32</v>
      </c>
    </row>
    <row r="11" spans="1:6" x14ac:dyDescent="0.45">
      <c r="E11" s="7" t="s">
        <v>31</v>
      </c>
      <c r="F11" s="6" t="s">
        <v>298</v>
      </c>
    </row>
    <row r="12" spans="1:6" x14ac:dyDescent="0.45">
      <c r="E12" s="7" t="s">
        <v>91</v>
      </c>
      <c r="F12" s="6" t="s">
        <v>299</v>
      </c>
    </row>
    <row r="13" spans="1:6" x14ac:dyDescent="0.45">
      <c r="E13" s="7" t="s">
        <v>144</v>
      </c>
      <c r="F13" s="6" t="s">
        <v>267</v>
      </c>
    </row>
    <row r="14" spans="1:6" x14ac:dyDescent="0.45">
      <c r="E14" s="7" t="s">
        <v>60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Read Me</vt:lpstr>
      <vt:lpstr>Stage 1 - Bid &amp; Tender</vt:lpstr>
      <vt:lpstr>Stage 2 - Contract Award</vt:lpstr>
      <vt:lpstr>Stage 3 - Pre-Construction</vt:lpstr>
      <vt:lpstr>Construction Folder Structure</vt:lpstr>
      <vt:lpstr>Master Register</vt:lpstr>
      <vt:lpstr>Folder Coverage</vt:lpstr>
      <vt:lpstr>Dashboard</vt:lpstr>
      <vt:lpstr>Guidance &amp; Lookups</vt:lpstr>
      <vt:lpstr>'Master Register'!Print_Titles</vt:lpstr>
      <vt:lpstr>'Stage 1 - Bid &amp; Tender'!Print_Titles</vt:lpstr>
      <vt:lpstr>'Stage 2 - Contract Award'!Print_Titles</vt:lpstr>
      <vt:lpstr>'Stage 3 - Pre-Construction'!Print_Titles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P5RS Canalside Regency Apartments - Construction Team Pre-Construction Register (Rev P01)</dc:title>
  <dc:subject/>
  <dc:creator>Joan Raza</dc:creator>
  <cp:keywords/>
  <dc:description/>
  <cp:lastModifiedBy>Joan Kazmi</cp:lastModifiedBy>
  <cp:revision>1</cp:revision>
  <dcterms:created xsi:type="dcterms:W3CDTF">2026-09-01T09:12:56Z</dcterms:created>
  <dcterms:modified xsi:type="dcterms:W3CDTF">2026-09-01T10:06:19Z</dcterms:modified>
  <cp:category/>
  <dc:language>en-US</dc:language>
</cp:coreProperties>
</file>